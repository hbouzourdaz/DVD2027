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49" activeTab="2"/>
  </bookViews>
  <sheets>
    <sheet name="1م1 " sheetId="4" r:id="rId1"/>
    <sheet name="1م2  " sheetId="19" r:id="rId2"/>
    <sheet name="1م3   " sheetId="20" r:id="rId3"/>
    <sheet name="1م4 " sheetId="21" r:id="rId4"/>
    <sheet name="1م5" sheetId="22" r:id="rId5"/>
  </sheets>
  <calcPr calcId="152511"/>
</workbook>
</file>

<file path=xl/calcChain.xml><?xml version="1.0" encoding="utf-8"?>
<calcChain xmlns="http://schemas.openxmlformats.org/spreadsheetml/2006/main">
  <c r="I42" i="22" l="1"/>
  <c r="L42" i="22"/>
  <c r="M42" i="22"/>
  <c r="B42" i="19"/>
  <c r="I42" i="19"/>
  <c r="L42" i="19"/>
  <c r="M42" i="19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" i="22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" i="21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" i="20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" i="19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I41" i="4" l="1"/>
  <c r="L41" i="4" s="1"/>
  <c r="I42" i="4"/>
  <c r="L42" i="4" s="1"/>
  <c r="I41" i="22" l="1"/>
  <c r="L41" i="22" s="1"/>
  <c r="I40" i="22"/>
  <c r="L40" i="22" s="1"/>
  <c r="I39" i="22"/>
  <c r="L39" i="22" s="1"/>
  <c r="I38" i="22"/>
  <c r="L38" i="22" s="1"/>
  <c r="I37" i="22"/>
  <c r="L37" i="22" s="1"/>
  <c r="I36" i="22"/>
  <c r="L36" i="22" s="1"/>
  <c r="I35" i="22"/>
  <c r="L35" i="22" s="1"/>
  <c r="I34" i="22"/>
  <c r="L34" i="22" s="1"/>
  <c r="I33" i="22"/>
  <c r="L33" i="22" s="1"/>
  <c r="I32" i="22"/>
  <c r="L32" i="22" s="1"/>
  <c r="I31" i="22"/>
  <c r="L31" i="22" s="1"/>
  <c r="I30" i="22"/>
  <c r="L30" i="22" s="1"/>
  <c r="I29" i="22"/>
  <c r="L29" i="22" s="1"/>
  <c r="I28" i="22"/>
  <c r="L28" i="22" s="1"/>
  <c r="I27" i="22"/>
  <c r="L27" i="22" s="1"/>
  <c r="I26" i="22"/>
  <c r="L26" i="22" s="1"/>
  <c r="I25" i="22"/>
  <c r="L25" i="22" s="1"/>
  <c r="I24" i="22"/>
  <c r="L24" i="22" s="1"/>
  <c r="I23" i="22"/>
  <c r="L23" i="22" s="1"/>
  <c r="I22" i="22"/>
  <c r="L22" i="22" s="1"/>
  <c r="I21" i="22"/>
  <c r="L21" i="22" s="1"/>
  <c r="L20" i="22"/>
  <c r="I20" i="22"/>
  <c r="I19" i="22"/>
  <c r="L19" i="22" s="1"/>
  <c r="I18" i="22"/>
  <c r="L18" i="22" s="1"/>
  <c r="I17" i="22"/>
  <c r="L17" i="22" s="1"/>
  <c r="I16" i="22"/>
  <c r="L16" i="22" s="1"/>
  <c r="I15" i="22"/>
  <c r="L15" i="22" s="1"/>
  <c r="I14" i="22"/>
  <c r="L14" i="22" s="1"/>
  <c r="I13" i="22"/>
  <c r="L13" i="22" s="1"/>
  <c r="I12" i="22"/>
  <c r="L12" i="22" s="1"/>
  <c r="I11" i="22"/>
  <c r="L11" i="22" s="1"/>
  <c r="I10" i="22"/>
  <c r="L10" i="22" s="1"/>
  <c r="B10" i="22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I9" i="22"/>
  <c r="L9" i="22" s="1"/>
  <c r="B9" i="22"/>
  <c r="I8" i="22"/>
  <c r="L8" i="22" s="1"/>
  <c r="I7" i="22"/>
  <c r="L7" i="22" s="1"/>
  <c r="I6" i="22"/>
  <c r="L6" i="22" s="1"/>
  <c r="L5" i="22"/>
  <c r="I5" i="22"/>
  <c r="B5" i="22"/>
  <c r="B6" i="22" s="1"/>
  <c r="B7" i="22" s="1"/>
  <c r="B8" i="22" s="1"/>
  <c r="L4" i="22"/>
  <c r="I4" i="22"/>
  <c r="I42" i="21"/>
  <c r="L42" i="21" s="1"/>
  <c r="I41" i="21"/>
  <c r="L41" i="21" s="1"/>
  <c r="I40" i="21"/>
  <c r="L40" i="21" s="1"/>
  <c r="I39" i="21"/>
  <c r="L39" i="21" s="1"/>
  <c r="I38" i="21"/>
  <c r="L38" i="21" s="1"/>
  <c r="I37" i="21"/>
  <c r="L37" i="21" s="1"/>
  <c r="I36" i="21"/>
  <c r="L36" i="21" s="1"/>
  <c r="I35" i="21"/>
  <c r="L35" i="21" s="1"/>
  <c r="I34" i="21"/>
  <c r="L34" i="21" s="1"/>
  <c r="I33" i="21"/>
  <c r="L33" i="21" s="1"/>
  <c r="I32" i="21"/>
  <c r="L32" i="21" s="1"/>
  <c r="I31" i="21"/>
  <c r="L31" i="21" s="1"/>
  <c r="I30" i="21"/>
  <c r="L30" i="21" s="1"/>
  <c r="I29" i="21"/>
  <c r="L29" i="21" s="1"/>
  <c r="I28" i="21"/>
  <c r="L28" i="21" s="1"/>
  <c r="I27" i="21"/>
  <c r="L27" i="21" s="1"/>
  <c r="I26" i="21"/>
  <c r="L26" i="21" s="1"/>
  <c r="I25" i="21"/>
  <c r="L25" i="21" s="1"/>
  <c r="I24" i="21"/>
  <c r="L24" i="21" s="1"/>
  <c r="L23" i="21"/>
  <c r="I23" i="21"/>
  <c r="L22" i="21"/>
  <c r="I22" i="21"/>
  <c r="L21" i="21"/>
  <c r="I21" i="21"/>
  <c r="I20" i="21"/>
  <c r="L20" i="21" s="1"/>
  <c r="I19" i="21"/>
  <c r="L19" i="21" s="1"/>
  <c r="I18" i="21"/>
  <c r="L18" i="21" s="1"/>
  <c r="I17" i="21"/>
  <c r="L17" i="21" s="1"/>
  <c r="I16" i="21"/>
  <c r="L16" i="21" s="1"/>
  <c r="I15" i="21"/>
  <c r="L15" i="21" s="1"/>
  <c r="I14" i="21"/>
  <c r="L14" i="21" s="1"/>
  <c r="I13" i="21"/>
  <c r="L13" i="21" s="1"/>
  <c r="B13" i="2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I12" i="21"/>
  <c r="L12" i="21" s="1"/>
  <c r="I11" i="21"/>
  <c r="L11" i="21" s="1"/>
  <c r="I10" i="21"/>
  <c r="L10" i="21" s="1"/>
  <c r="I9" i="21"/>
  <c r="L9" i="21" s="1"/>
  <c r="L8" i="21"/>
  <c r="I8" i="21"/>
  <c r="L7" i="21"/>
  <c r="I7" i="21"/>
  <c r="L6" i="21"/>
  <c r="I6" i="21"/>
  <c r="O5" i="21"/>
  <c r="I5" i="21"/>
  <c r="L5" i="21" s="1"/>
  <c r="B5" i="21"/>
  <c r="B6" i="21" s="1"/>
  <c r="B7" i="21" s="1"/>
  <c r="B8" i="21" s="1"/>
  <c r="B9" i="21" s="1"/>
  <c r="B10" i="21" s="1"/>
  <c r="B11" i="21" s="1"/>
  <c r="B12" i="21" s="1"/>
  <c r="I4" i="21"/>
  <c r="L4" i="21" s="1"/>
  <c r="O19" i="21" s="1"/>
  <c r="O20" i="21" s="1"/>
  <c r="I42" i="20"/>
  <c r="L42" i="20" s="1"/>
  <c r="I41" i="20"/>
  <c r="L41" i="20" s="1"/>
  <c r="I40" i="20"/>
  <c r="L40" i="20" s="1"/>
  <c r="I39" i="20"/>
  <c r="L39" i="20" s="1"/>
  <c r="I38" i="20"/>
  <c r="L38" i="20" s="1"/>
  <c r="I37" i="20"/>
  <c r="L37" i="20" s="1"/>
  <c r="I36" i="20"/>
  <c r="L36" i="20" s="1"/>
  <c r="I35" i="20"/>
  <c r="L35" i="20" s="1"/>
  <c r="I34" i="20"/>
  <c r="L34" i="20" s="1"/>
  <c r="I33" i="20"/>
  <c r="L33" i="20" s="1"/>
  <c r="I32" i="20"/>
  <c r="L32" i="20" s="1"/>
  <c r="I31" i="20"/>
  <c r="L31" i="20" s="1"/>
  <c r="I30" i="20"/>
  <c r="L30" i="20" s="1"/>
  <c r="I29" i="20"/>
  <c r="L29" i="20" s="1"/>
  <c r="I28" i="20"/>
  <c r="L28" i="20" s="1"/>
  <c r="I27" i="20"/>
  <c r="L27" i="20" s="1"/>
  <c r="I26" i="20"/>
  <c r="L26" i="20" s="1"/>
  <c r="I25" i="20"/>
  <c r="L25" i="20" s="1"/>
  <c r="I24" i="20"/>
  <c r="L24" i="20" s="1"/>
  <c r="L23" i="20"/>
  <c r="I23" i="20"/>
  <c r="L22" i="20"/>
  <c r="I22" i="20"/>
  <c r="L21" i="20"/>
  <c r="I21" i="20"/>
  <c r="I20" i="20"/>
  <c r="L20" i="20" s="1"/>
  <c r="I19" i="20"/>
  <c r="L19" i="20" s="1"/>
  <c r="I18" i="20"/>
  <c r="L18" i="20" s="1"/>
  <c r="I17" i="20"/>
  <c r="L17" i="20" s="1"/>
  <c r="I16" i="20"/>
  <c r="L16" i="20" s="1"/>
  <c r="I15" i="20"/>
  <c r="L15" i="20" s="1"/>
  <c r="I14" i="20"/>
  <c r="L14" i="20" s="1"/>
  <c r="I13" i="20"/>
  <c r="L13" i="20" s="1"/>
  <c r="B13" i="20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I12" i="20"/>
  <c r="L12" i="20" s="1"/>
  <c r="I11" i="20"/>
  <c r="L11" i="20" s="1"/>
  <c r="I10" i="20"/>
  <c r="L10" i="20" s="1"/>
  <c r="I9" i="20"/>
  <c r="L9" i="20" s="1"/>
  <c r="L8" i="20"/>
  <c r="I8" i="20"/>
  <c r="L7" i="20"/>
  <c r="I7" i="20"/>
  <c r="L6" i="20"/>
  <c r="I6" i="20"/>
  <c r="O5" i="20"/>
  <c r="I5" i="20"/>
  <c r="L5" i="20" s="1"/>
  <c r="B5" i="20"/>
  <c r="B6" i="20" s="1"/>
  <c r="B7" i="20" s="1"/>
  <c r="B8" i="20" s="1"/>
  <c r="B9" i="20" s="1"/>
  <c r="B10" i="20" s="1"/>
  <c r="B11" i="20" s="1"/>
  <c r="B12" i="20" s="1"/>
  <c r="I4" i="20"/>
  <c r="L4" i="20" s="1"/>
  <c r="L41" i="19"/>
  <c r="I41" i="19"/>
  <c r="L40" i="19"/>
  <c r="I40" i="19"/>
  <c r="L39" i="19"/>
  <c r="I39" i="19"/>
  <c r="L38" i="19"/>
  <c r="I38" i="19"/>
  <c r="L37" i="19"/>
  <c r="I37" i="19"/>
  <c r="L36" i="19"/>
  <c r="I36" i="19"/>
  <c r="L35" i="19"/>
  <c r="I35" i="19"/>
  <c r="L34" i="19"/>
  <c r="I34" i="19"/>
  <c r="L33" i="19"/>
  <c r="I33" i="19"/>
  <c r="L32" i="19"/>
  <c r="I32" i="19"/>
  <c r="L31" i="19"/>
  <c r="I31" i="19"/>
  <c r="L30" i="19"/>
  <c r="I30" i="19"/>
  <c r="L29" i="19"/>
  <c r="I29" i="19"/>
  <c r="L28" i="19"/>
  <c r="I28" i="19"/>
  <c r="L27" i="19"/>
  <c r="I27" i="19"/>
  <c r="L26" i="19"/>
  <c r="I26" i="19"/>
  <c r="L25" i="19"/>
  <c r="I25" i="19"/>
  <c r="I24" i="19"/>
  <c r="L24" i="19" s="1"/>
  <c r="I23" i="19"/>
  <c r="L23" i="19" s="1"/>
  <c r="I22" i="19"/>
  <c r="L22" i="19" s="1"/>
  <c r="I21" i="19"/>
  <c r="L21" i="19" s="1"/>
  <c r="I20" i="19"/>
  <c r="L20" i="19" s="1"/>
  <c r="L19" i="19"/>
  <c r="I19" i="19"/>
  <c r="L18" i="19"/>
  <c r="I18" i="19"/>
  <c r="L17" i="19"/>
  <c r="I17" i="19"/>
  <c r="L16" i="19"/>
  <c r="I16" i="19"/>
  <c r="L15" i="19"/>
  <c r="I15" i="19"/>
  <c r="L14" i="19"/>
  <c r="I14" i="19"/>
  <c r="L13" i="19"/>
  <c r="I13" i="19"/>
  <c r="I12" i="19"/>
  <c r="L12" i="19" s="1"/>
  <c r="I11" i="19"/>
  <c r="L11" i="19" s="1"/>
  <c r="I10" i="19"/>
  <c r="L10" i="19" s="1"/>
  <c r="I9" i="19"/>
  <c r="L9" i="19" s="1"/>
  <c r="I8" i="19"/>
  <c r="L8" i="19" s="1"/>
  <c r="I7" i="19"/>
  <c r="L7" i="19" s="1"/>
  <c r="B7" i="19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I6" i="19"/>
  <c r="L6" i="19" s="1"/>
  <c r="B6" i="19"/>
  <c r="I5" i="19"/>
  <c r="L5" i="19" s="1"/>
  <c r="B5" i="19"/>
  <c r="I4" i="19"/>
  <c r="L4" i="19" s="1"/>
  <c r="O23" i="22" l="1"/>
  <c r="O24" i="22" s="1"/>
  <c r="O8" i="22"/>
  <c r="O5" i="22"/>
  <c r="O19" i="22"/>
  <c r="O20" i="22" s="1"/>
  <c r="O12" i="22"/>
  <c r="O12" i="21"/>
  <c r="O23" i="21"/>
  <c r="O24" i="21" s="1"/>
  <c r="O8" i="21"/>
  <c r="O19" i="20"/>
  <c r="O20" i="20" s="1"/>
  <c r="O12" i="20"/>
  <c r="O23" i="20"/>
  <c r="O24" i="20" s="1"/>
  <c r="O8" i="20"/>
  <c r="O5" i="19"/>
  <c r="O19" i="19"/>
  <c r="O20" i="19" s="1"/>
  <c r="O12" i="19"/>
  <c r="O8" i="19"/>
  <c r="O23" i="19"/>
  <c r="O24" i="19" s="1"/>
  <c r="I40" i="4"/>
  <c r="L40" i="4" s="1"/>
  <c r="I39" i="4"/>
  <c r="L39" i="4" s="1"/>
  <c r="I38" i="4"/>
  <c r="L38" i="4" s="1"/>
  <c r="I37" i="4"/>
  <c r="L37" i="4" s="1"/>
  <c r="I36" i="4"/>
  <c r="L36" i="4" s="1"/>
  <c r="I35" i="4"/>
  <c r="L35" i="4" s="1"/>
  <c r="I34" i="4"/>
  <c r="L34" i="4" s="1"/>
  <c r="I33" i="4"/>
  <c r="L33" i="4" s="1"/>
  <c r="I32" i="4"/>
  <c r="L32" i="4" s="1"/>
  <c r="I31" i="4"/>
  <c r="L31" i="4" s="1"/>
  <c r="I30" i="4"/>
  <c r="L30" i="4" s="1"/>
  <c r="I29" i="4"/>
  <c r="L29" i="4" s="1"/>
  <c r="I28" i="4"/>
  <c r="L28" i="4" s="1"/>
  <c r="I27" i="4"/>
  <c r="L27" i="4" s="1"/>
  <c r="I26" i="4"/>
  <c r="L26" i="4" s="1"/>
  <c r="I25" i="4"/>
  <c r="L25" i="4" s="1"/>
  <c r="I24" i="4"/>
  <c r="L24" i="4" s="1"/>
  <c r="I23" i="4"/>
  <c r="L23" i="4" s="1"/>
  <c r="I22" i="4"/>
  <c r="L22" i="4" s="1"/>
  <c r="I21" i="4"/>
  <c r="L21" i="4" s="1"/>
  <c r="I20" i="4"/>
  <c r="L20" i="4" s="1"/>
  <c r="I19" i="4"/>
  <c r="L19" i="4" s="1"/>
  <c r="I18" i="4"/>
  <c r="L18" i="4" s="1"/>
  <c r="I17" i="4"/>
  <c r="L17" i="4" s="1"/>
  <c r="I16" i="4"/>
  <c r="L16" i="4" s="1"/>
  <c r="I15" i="4"/>
  <c r="L15" i="4" s="1"/>
  <c r="I14" i="4"/>
  <c r="L14" i="4" s="1"/>
  <c r="I13" i="4"/>
  <c r="L13" i="4" s="1"/>
  <c r="I12" i="4"/>
  <c r="L12" i="4" s="1"/>
  <c r="I11" i="4"/>
  <c r="L11" i="4" s="1"/>
  <c r="I10" i="4"/>
  <c r="L10" i="4" s="1"/>
  <c r="I9" i="4"/>
  <c r="L9" i="4" s="1"/>
  <c r="I8" i="4"/>
  <c r="L8" i="4" s="1"/>
  <c r="I7" i="4"/>
  <c r="L7" i="4" s="1"/>
  <c r="I6" i="4"/>
  <c r="L6" i="4" s="1"/>
  <c r="I5" i="4"/>
  <c r="L5" i="4" s="1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I4" i="4"/>
  <c r="L4" i="4" s="1"/>
  <c r="O12" i="4" l="1"/>
  <c r="O23" i="4"/>
  <c r="O24" i="4" s="1"/>
  <c r="O8" i="4"/>
  <c r="O5" i="4"/>
  <c r="O19" i="4"/>
  <c r="O20" i="4" s="1"/>
</calcChain>
</file>

<file path=xl/sharedStrings.xml><?xml version="1.0" encoding="utf-8"?>
<sst xmlns="http://schemas.openxmlformats.org/spreadsheetml/2006/main" count="95" uniqueCount="23">
  <si>
    <t>اللقب</t>
  </si>
  <si>
    <t>الاسم</t>
  </si>
  <si>
    <t>الفرض</t>
  </si>
  <si>
    <t>الاختبار</t>
  </si>
  <si>
    <t>المعدل</t>
  </si>
  <si>
    <t>التقديرات</t>
  </si>
  <si>
    <t>أعلى معدل</t>
  </si>
  <si>
    <t>أدنى معدل</t>
  </si>
  <si>
    <t>معدل القسم</t>
  </si>
  <si>
    <t>M &lt;10</t>
  </si>
  <si>
    <t>M &gt;= 10</t>
  </si>
  <si>
    <t>الرقم</t>
  </si>
  <si>
    <t>التقييم المستمر</t>
  </si>
  <si>
    <t>الانضباط</t>
  </si>
  <si>
    <t>المشاركة</t>
  </si>
  <si>
    <t>الواجبات</t>
  </si>
  <si>
    <t>الكراس</t>
  </si>
  <si>
    <t>دفتر التنقيط : قسم 1م1 - الفصل الأول</t>
  </si>
  <si>
    <t>ملاحظات</t>
  </si>
  <si>
    <t>دفتر التنقيط : قسم 1م2 - الفصل الأول</t>
  </si>
  <si>
    <t>دفتر التنقيط : قسم 1م3 - الفصل الأول</t>
  </si>
  <si>
    <t>دفتر التنقيط : قسم 1م4 - الفصل الأول</t>
  </si>
  <si>
    <t>دفتر التنقيط : قسم 1م5 - الفصل الأول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</si>
</sst>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color indexed="8"/>
      <name val="DejaVu Serif"/>
    </font>
    <font>
      <sz val="11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22"/>
      <color theme="1"/>
      <name val="18 Khebrat Musamim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64"/>
      </bottom>
      <diagonal/>
    </border>
    <border>
      <left style="double">
        <color indexed="64"/>
      </left>
      <right style="double">
        <color indexed="8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3" xfId="0" applyFont="1" applyFill="1" applyBorder="1" applyAlignment="1">
      <alignment horizontal="center"/>
    </xf>
    <xf numFmtId="10" fontId="9" fillId="0" borderId="3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10" fontId="10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2" borderId="4" xfId="0" applyFont="1" applyFill="1" applyBorder="1" applyAlignment="1" applyProtection="1">
      <alignment horizontal="center" vertic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4" xfId="0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2" fillId="0" borderId="14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4" fillId="6" borderId="14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2" borderId="29" xfId="0" applyFont="1" applyFill="1" applyBorder="1" applyAlignment="1" applyProtection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7" fillId="2" borderId="34" xfId="0" applyFont="1" applyFill="1" applyBorder="1" applyAlignment="1" applyProtection="1">
      <alignment horizontal="center" vertical="center"/>
    </xf>
    <xf numFmtId="0" fontId="0" fillId="0" borderId="0" xfId="0" applyBorder="1"/>
    <xf numFmtId="0" fontId="2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42"/>
  <sheetViews>
    <sheetView rightToLeft="1" topLeftCell="A28" zoomScaleNormal="100" workbookViewId="0">
      <selection activeCell="T39" sqref="T39"/>
    </sheetView>
  </sheetViews>
  <sheetFormatPr baseColWidth="10" defaultColWidth="9.140625" defaultRowHeight="15"/>
  <cols>
    <col min="2" max="2" width="4.7109375" customWidth="1"/>
    <col min="3" max="3" width="9.140625" customWidth="1"/>
    <col min="4" max="4" width="12.28515625" customWidth="1"/>
    <col min="5" max="5" width="7.28515625" customWidth="1"/>
    <col min="6" max="6" width="7.140625" customWidth="1"/>
    <col min="7" max="7" width="7.42578125" customWidth="1"/>
    <col min="8" max="8" width="7.5703125" customWidth="1"/>
    <col min="9" max="9" width="7.42578125" customWidth="1"/>
    <col min="10" max="10" width="5.85546875" customWidth="1"/>
    <col min="11" max="11" width="6.42578125" customWidth="1"/>
    <col min="12" max="12" width="6.85546875" customWidth="1"/>
    <col min="13" max="14" width="10.42578125" customWidth="1"/>
    <col min="15" max="15" width="9.7109375" customWidth="1"/>
  </cols>
  <sheetData>
    <row r="2" spans="2:16" ht="63.75" customHeight="1" thickBot="1">
      <c r="C2" s="48" t="s">
        <v>17</v>
      </c>
      <c r="N2" s="51"/>
    </row>
    <row r="3" spans="2:16" ht="31.5" thickTop="1" thickBot="1">
      <c r="B3" s="29" t="s">
        <v>11</v>
      </c>
      <c r="C3" s="31" t="s">
        <v>0</v>
      </c>
      <c r="D3" s="32" t="s">
        <v>1</v>
      </c>
      <c r="E3" s="37" t="s">
        <v>13</v>
      </c>
      <c r="F3" s="38" t="s">
        <v>14</v>
      </c>
      <c r="G3" s="39" t="s">
        <v>16</v>
      </c>
      <c r="H3" s="40" t="s">
        <v>15</v>
      </c>
      <c r="I3" s="52" t="s">
        <v>12</v>
      </c>
      <c r="J3" s="53" t="s">
        <v>2</v>
      </c>
      <c r="K3" s="54" t="s">
        <v>3</v>
      </c>
      <c r="L3" s="49" t="s">
        <v>4</v>
      </c>
      <c r="M3" s="55" t="s">
        <v>5</v>
      </c>
      <c r="N3" s="56" t="s">
        <v>18</v>
      </c>
      <c r="O3" s="1"/>
    </row>
    <row r="4" spans="2:16" ht="16.5" thickTop="1" thickBot="1">
      <c r="B4" s="30">
        <v>1</v>
      </c>
      <c r="C4" s="15"/>
      <c r="D4" s="15"/>
      <c r="E4" s="44">
        <v>5</v>
      </c>
      <c r="F4" s="46">
        <v>5</v>
      </c>
      <c r="G4" s="34">
        <v>5</v>
      </c>
      <c r="H4" s="45">
        <v>5</v>
      </c>
      <c r="I4" s="35">
        <f t="shared" ref="I4:I41" si="0">SUM(E4:H4)</f>
        <v>20</v>
      </c>
      <c r="J4" s="36">
        <v>0</v>
      </c>
      <c r="K4" s="42">
        <v>0</v>
      </c>
      <c r="L4" s="41">
        <f>(J4+I4+K4*3)/5</f>
        <v>4</v>
      </c>
      <c r="M4" s="50" t="str">
        <f>IF(L4&gt;=17, "عمل ممتاز",
 IF(L4&gt;=16, "جيد جدا",
IF(L4&gt;=14, "نتائج جيدة",
IF(L4&gt;=12, "نتائج حسنة",
IF(L4&gt;=10, "نتائج متوسطة",
IF(L4&gt;=9, "دون المتوسط",
IF(L4&gt;=0, "غير كاف" )))))))</f>
        <v>غير كاف</v>
      </c>
      <c r="N4" s="57"/>
      <c r="O4" s="20" t="s">
        <v>6</v>
      </c>
      <c r="P4" s="19"/>
    </row>
    <row r="5" spans="2:16" ht="16.5" thickTop="1" thickBot="1">
      <c r="B5" s="28">
        <f>B4+1</f>
        <v>2</v>
      </c>
      <c r="C5" s="15"/>
      <c r="D5" s="15"/>
      <c r="E5" s="47">
        <v>5</v>
      </c>
      <c r="F5" s="14">
        <v>5</v>
      </c>
      <c r="G5" s="33">
        <v>5</v>
      </c>
      <c r="H5" s="16">
        <v>5</v>
      </c>
      <c r="I5" s="17">
        <f t="shared" si="0"/>
        <v>20</v>
      </c>
      <c r="J5" s="2">
        <v>0</v>
      </c>
      <c r="K5" s="43">
        <v>0</v>
      </c>
      <c r="L5" s="14">
        <f t="shared" ref="L5:L41" si="1">(J5+I5+K5*3)/5</f>
        <v>4</v>
      </c>
      <c r="M5" s="50" t="str">
        <f t="shared" ref="M5:M45" si="2">IF(L5&gt;=17, "عمل ممتاز",
 IF(L5&gt;=16, "جيد جدا",
IF(L5&gt;=14, "نتائج جيدة",
IF(L5&gt;=12, "نتائج حسنة",
IF(L5&gt;=10, "نتائج متوسطة",
IF(L5&gt;=9, "دون المتوسط",
IF(L5&gt;=0, "غير كاف" )))))))</f>
        <v>غير كاف</v>
      </c>
      <c r="N5" s="18"/>
      <c r="O5" s="21">
        <f>MAX(L:L)</f>
        <v>4</v>
      </c>
      <c r="P5" s="19"/>
    </row>
    <row r="6" spans="2:16" ht="16.5" thickTop="1" thickBot="1">
      <c r="B6" s="28">
        <f t="shared" ref="B6:B45" si="3">B5+1</f>
        <v>3</v>
      </c>
      <c r="C6" s="15"/>
      <c r="D6" s="15"/>
      <c r="E6" s="47">
        <v>5</v>
      </c>
      <c r="F6" s="14">
        <v>5</v>
      </c>
      <c r="G6" s="33">
        <v>5</v>
      </c>
      <c r="H6" s="16">
        <v>5</v>
      </c>
      <c r="I6" s="17">
        <f t="shared" si="0"/>
        <v>20</v>
      </c>
      <c r="J6" s="2">
        <v>0</v>
      </c>
      <c r="K6" s="43">
        <v>0</v>
      </c>
      <c r="L6" s="14">
        <f t="shared" si="1"/>
        <v>4</v>
      </c>
      <c r="M6" s="50" t="str">
        <f t="shared" si="2"/>
        <v>غير كاف</v>
      </c>
      <c r="N6" s="18"/>
      <c r="O6" s="3"/>
    </row>
    <row r="7" spans="2:16" ht="16.5" thickTop="1" thickBot="1">
      <c r="B7" s="28">
        <f t="shared" si="3"/>
        <v>4</v>
      </c>
      <c r="C7" s="15"/>
      <c r="D7" s="15"/>
      <c r="E7" s="47">
        <v>5</v>
      </c>
      <c r="F7" s="14">
        <v>5</v>
      </c>
      <c r="G7" s="33">
        <v>5</v>
      </c>
      <c r="H7" s="16">
        <v>5</v>
      </c>
      <c r="I7" s="17">
        <f t="shared" si="0"/>
        <v>20</v>
      </c>
      <c r="J7" s="2">
        <v>0</v>
      </c>
      <c r="K7" s="43">
        <v>0</v>
      </c>
      <c r="L7" s="14">
        <f t="shared" si="1"/>
        <v>4</v>
      </c>
      <c r="M7" s="50" t="str">
        <f t="shared" si="2"/>
        <v>غير كاف</v>
      </c>
      <c r="N7" s="18"/>
      <c r="O7" s="22" t="s">
        <v>7</v>
      </c>
    </row>
    <row r="8" spans="2:16" ht="16.5" thickTop="1" thickBot="1">
      <c r="B8" s="28">
        <f t="shared" si="3"/>
        <v>5</v>
      </c>
      <c r="C8" s="15"/>
      <c r="D8" s="15"/>
      <c r="E8" s="47">
        <v>5</v>
      </c>
      <c r="F8" s="14">
        <v>5</v>
      </c>
      <c r="G8" s="33">
        <v>5</v>
      </c>
      <c r="H8" s="16">
        <v>5</v>
      </c>
      <c r="I8" s="17">
        <f t="shared" si="0"/>
        <v>20</v>
      </c>
      <c r="J8" s="2">
        <v>0</v>
      </c>
      <c r="K8" s="43">
        <v>0</v>
      </c>
      <c r="L8" s="14">
        <f t="shared" si="1"/>
        <v>4</v>
      </c>
      <c r="M8" s="50" t="str">
        <f t="shared" si="2"/>
        <v>غير كاف</v>
      </c>
      <c r="N8" s="18"/>
      <c r="O8" s="23">
        <f>MIN(L:L)</f>
        <v>4</v>
      </c>
      <c r="P8" s="19"/>
    </row>
    <row r="9" spans="2:16" ht="16.5" thickTop="1" thickBot="1">
      <c r="B9" s="28">
        <f t="shared" si="3"/>
        <v>6</v>
      </c>
      <c r="C9" s="15"/>
      <c r="D9" s="15"/>
      <c r="E9" s="47">
        <v>5</v>
      </c>
      <c r="F9" s="14">
        <v>5</v>
      </c>
      <c r="G9" s="33">
        <v>5</v>
      </c>
      <c r="H9" s="16">
        <v>5</v>
      </c>
      <c r="I9" s="17">
        <f t="shared" si="0"/>
        <v>20</v>
      </c>
      <c r="J9" s="2">
        <v>0</v>
      </c>
      <c r="K9" s="43">
        <v>0</v>
      </c>
      <c r="L9" s="14">
        <f t="shared" si="1"/>
        <v>4</v>
      </c>
      <c r="M9" s="50" t="str">
        <f t="shared" si="2"/>
        <v>غير كاف</v>
      </c>
      <c r="N9" s="18"/>
      <c r="O9" s="24"/>
    </row>
    <row r="10" spans="2:16" ht="16.5" thickTop="1" thickBot="1">
      <c r="B10" s="28">
        <f t="shared" si="3"/>
        <v>7</v>
      </c>
      <c r="C10" s="15"/>
      <c r="D10" s="15"/>
      <c r="E10" s="47">
        <v>5</v>
      </c>
      <c r="F10" s="14">
        <v>5</v>
      </c>
      <c r="G10" s="33">
        <v>5</v>
      </c>
      <c r="H10" s="16">
        <v>5</v>
      </c>
      <c r="I10" s="17">
        <f t="shared" si="0"/>
        <v>20</v>
      </c>
      <c r="J10" s="2">
        <v>0</v>
      </c>
      <c r="K10" s="43">
        <v>0</v>
      </c>
      <c r="L10" s="14">
        <f t="shared" si="1"/>
        <v>4</v>
      </c>
      <c r="M10" s="50" t="str">
        <f t="shared" si="2"/>
        <v>غير كاف</v>
      </c>
      <c r="N10" s="18"/>
      <c r="O10" s="4"/>
    </row>
    <row r="11" spans="2:16" ht="16.5" thickTop="1" thickBot="1">
      <c r="B11" s="28">
        <f t="shared" si="3"/>
        <v>8</v>
      </c>
      <c r="C11" s="15"/>
      <c r="D11" s="15"/>
      <c r="E11" s="47">
        <v>5</v>
      </c>
      <c r="F11" s="14">
        <v>5</v>
      </c>
      <c r="G11" s="33">
        <v>5</v>
      </c>
      <c r="H11" s="16">
        <v>5</v>
      </c>
      <c r="I11" s="17">
        <f t="shared" si="0"/>
        <v>20</v>
      </c>
      <c r="J11" s="2">
        <v>0</v>
      </c>
      <c r="K11" s="43">
        <v>0</v>
      </c>
      <c r="L11" s="14">
        <f t="shared" si="1"/>
        <v>4</v>
      </c>
      <c r="M11" s="50" t="str">
        <f t="shared" si="2"/>
        <v>غير كاف</v>
      </c>
      <c r="N11" s="18"/>
      <c r="O11" s="25" t="s">
        <v>8</v>
      </c>
    </row>
    <row r="12" spans="2:16" ht="16.5" thickTop="1" thickBot="1">
      <c r="B12" s="28">
        <f t="shared" si="3"/>
        <v>9</v>
      </c>
      <c r="C12" s="15"/>
      <c r="D12" s="15"/>
      <c r="E12" s="47">
        <v>5</v>
      </c>
      <c r="F12" s="14">
        <v>5</v>
      </c>
      <c r="G12" s="33">
        <v>5</v>
      </c>
      <c r="H12" s="16">
        <v>5</v>
      </c>
      <c r="I12" s="17">
        <f t="shared" si="0"/>
        <v>20</v>
      </c>
      <c r="J12" s="2">
        <v>0</v>
      </c>
      <c r="K12" s="43">
        <v>0</v>
      </c>
      <c r="L12" s="14">
        <f t="shared" si="1"/>
        <v>4</v>
      </c>
      <c r="M12" s="50" t="str">
        <f t="shared" si="2"/>
        <v>غير كاف</v>
      </c>
      <c r="N12" s="18"/>
      <c r="O12" s="26">
        <f>AVERAGE(L:L)</f>
        <v>4</v>
      </c>
    </row>
    <row r="13" spans="2:16" ht="16.5" thickTop="1" thickBot="1">
      <c r="B13" s="28">
        <f t="shared" si="3"/>
        <v>10</v>
      </c>
      <c r="C13" s="15"/>
      <c r="D13" s="15"/>
      <c r="E13" s="47">
        <v>5</v>
      </c>
      <c r="F13" s="14">
        <v>5</v>
      </c>
      <c r="G13" s="33">
        <v>5</v>
      </c>
      <c r="H13" s="16">
        <v>5</v>
      </c>
      <c r="I13" s="17">
        <f t="shared" si="0"/>
        <v>20</v>
      </c>
      <c r="J13" s="2">
        <v>0</v>
      </c>
      <c r="K13" s="43">
        <v>0</v>
      </c>
      <c r="L13" s="14">
        <f t="shared" si="1"/>
        <v>4</v>
      </c>
      <c r="M13" s="50" t="str">
        <f t="shared" si="2"/>
        <v>غير كاف</v>
      </c>
      <c r="N13" s="18"/>
      <c r="O13" s="27"/>
    </row>
    <row r="14" spans="2:16" ht="16.5" thickTop="1" thickBot="1">
      <c r="B14" s="28">
        <f t="shared" si="3"/>
        <v>11</v>
      </c>
      <c r="C14" s="15"/>
      <c r="D14" s="15"/>
      <c r="E14" s="47">
        <v>5</v>
      </c>
      <c r="F14" s="14">
        <v>5</v>
      </c>
      <c r="G14" s="33">
        <v>5</v>
      </c>
      <c r="H14" s="16">
        <v>5</v>
      </c>
      <c r="I14" s="17">
        <f t="shared" si="0"/>
        <v>20</v>
      </c>
      <c r="J14" s="2">
        <v>0</v>
      </c>
      <c r="K14" s="43">
        <v>0</v>
      </c>
      <c r="L14" s="14">
        <f t="shared" si="1"/>
        <v>4</v>
      </c>
      <c r="M14" s="50" t="str">
        <f t="shared" si="2"/>
        <v>غير كاف</v>
      </c>
      <c r="N14" s="18"/>
      <c r="O14" s="1"/>
    </row>
    <row r="15" spans="2:16" ht="16.5" thickTop="1" thickBot="1">
      <c r="B15" s="28">
        <f t="shared" si="3"/>
        <v>12</v>
      </c>
      <c r="C15" s="15"/>
      <c r="D15" s="15"/>
      <c r="E15" s="47">
        <v>5</v>
      </c>
      <c r="F15" s="14">
        <v>5</v>
      </c>
      <c r="G15" s="33">
        <v>5</v>
      </c>
      <c r="H15" s="16">
        <v>5</v>
      </c>
      <c r="I15" s="17">
        <f t="shared" si="0"/>
        <v>20</v>
      </c>
      <c r="J15" s="2">
        <v>0</v>
      </c>
      <c r="K15" s="43">
        <v>0</v>
      </c>
      <c r="L15" s="14">
        <f t="shared" si="1"/>
        <v>4</v>
      </c>
      <c r="M15" s="50" t="str">
        <f t="shared" si="2"/>
        <v>غير كاف</v>
      </c>
      <c r="N15" s="18"/>
      <c r="O15" s="1"/>
    </row>
    <row r="16" spans="2:16" ht="16.5" thickTop="1" thickBot="1">
      <c r="B16" s="28">
        <f t="shared" si="3"/>
        <v>13</v>
      </c>
      <c r="C16" s="15"/>
      <c r="D16" s="15"/>
      <c r="E16" s="47">
        <v>5</v>
      </c>
      <c r="F16" s="14">
        <v>5</v>
      </c>
      <c r="G16" s="33">
        <v>5</v>
      </c>
      <c r="H16" s="16">
        <v>5</v>
      </c>
      <c r="I16" s="17">
        <f t="shared" si="0"/>
        <v>20</v>
      </c>
      <c r="J16" s="2">
        <v>0</v>
      </c>
      <c r="K16" s="43">
        <v>0</v>
      </c>
      <c r="L16" s="14">
        <f t="shared" si="1"/>
        <v>4</v>
      </c>
      <c r="M16" s="50" t="str">
        <f t="shared" si="2"/>
        <v>غير كاف</v>
      </c>
      <c r="N16" s="18"/>
      <c r="O16" s="1"/>
    </row>
    <row r="17" spans="2:15" ht="16.5" thickTop="1" thickBot="1">
      <c r="B17" s="28">
        <f t="shared" si="3"/>
        <v>14</v>
      </c>
      <c r="C17" s="15"/>
      <c r="D17" s="15"/>
      <c r="E17" s="47">
        <v>5</v>
      </c>
      <c r="F17" s="14">
        <v>5</v>
      </c>
      <c r="G17" s="33">
        <v>5</v>
      </c>
      <c r="H17" s="16">
        <v>5</v>
      </c>
      <c r="I17" s="17">
        <f t="shared" si="0"/>
        <v>20</v>
      </c>
      <c r="J17" s="2">
        <v>0</v>
      </c>
      <c r="K17" s="43">
        <v>0</v>
      </c>
      <c r="L17" s="14">
        <f t="shared" si="1"/>
        <v>4</v>
      </c>
      <c r="M17" s="50" t="str">
        <f t="shared" si="2"/>
        <v>غير كاف</v>
      </c>
      <c r="N17" s="18"/>
      <c r="O17" s="1"/>
    </row>
    <row r="18" spans="2:15" ht="17.25" thickTop="1" thickBot="1">
      <c r="B18" s="28">
        <f t="shared" si="3"/>
        <v>15</v>
      </c>
      <c r="C18" s="15"/>
      <c r="D18" s="15"/>
      <c r="E18" s="47">
        <v>5</v>
      </c>
      <c r="F18" s="14">
        <v>5</v>
      </c>
      <c r="G18" s="33">
        <v>5</v>
      </c>
      <c r="H18" s="16">
        <v>5</v>
      </c>
      <c r="I18" s="17">
        <f t="shared" si="0"/>
        <v>20</v>
      </c>
      <c r="J18" s="2">
        <v>0</v>
      </c>
      <c r="K18" s="43">
        <v>0</v>
      </c>
      <c r="L18" s="14">
        <f t="shared" si="1"/>
        <v>4</v>
      </c>
      <c r="M18" s="50" t="str">
        <f t="shared" si="2"/>
        <v>غير كاف</v>
      </c>
      <c r="N18" s="18"/>
      <c r="O18" s="5" t="s">
        <v>9</v>
      </c>
    </row>
    <row r="19" spans="2:15" ht="17.25" thickTop="1" thickBot="1">
      <c r="B19" s="28">
        <f t="shared" si="3"/>
        <v>16</v>
      </c>
      <c r="C19" s="15"/>
      <c r="D19" s="15"/>
      <c r="E19" s="47">
        <v>5</v>
      </c>
      <c r="F19" s="14">
        <v>5</v>
      </c>
      <c r="G19" s="33">
        <v>5</v>
      </c>
      <c r="H19" s="16">
        <v>5</v>
      </c>
      <c r="I19" s="17">
        <f t="shared" si="0"/>
        <v>20</v>
      </c>
      <c r="J19" s="2">
        <v>0</v>
      </c>
      <c r="K19" s="43">
        <v>0</v>
      </c>
      <c r="L19" s="14">
        <f t="shared" si="1"/>
        <v>4</v>
      </c>
      <c r="M19" s="50" t="str">
        <f t="shared" si="2"/>
        <v>غير كاف</v>
      </c>
      <c r="N19" s="18"/>
      <c r="O19" s="5">
        <f>COUNTIFS(L:L,"&lt;10",L:L,"&gt;=0")</f>
        <v>39</v>
      </c>
    </row>
    <row r="20" spans="2:15" ht="17.25" thickTop="1" thickBot="1">
      <c r="B20" s="28">
        <f t="shared" si="3"/>
        <v>17</v>
      </c>
      <c r="C20" s="15"/>
      <c r="D20" s="15"/>
      <c r="E20" s="47">
        <v>5</v>
      </c>
      <c r="F20" s="14">
        <v>5</v>
      </c>
      <c r="G20" s="33">
        <v>5</v>
      </c>
      <c r="H20" s="16">
        <v>5</v>
      </c>
      <c r="I20" s="17">
        <f t="shared" si="0"/>
        <v>20</v>
      </c>
      <c r="J20" s="2">
        <v>0</v>
      </c>
      <c r="K20" s="43">
        <v>0</v>
      </c>
      <c r="L20" s="14">
        <f t="shared" si="1"/>
        <v>4</v>
      </c>
      <c r="M20" s="50" t="str">
        <f t="shared" si="2"/>
        <v>غير كاف</v>
      </c>
      <c r="N20" s="18"/>
      <c r="O20" s="6">
        <f>O19/COUNT(L:L)</f>
        <v>1</v>
      </c>
    </row>
    <row r="21" spans="2:15" ht="16.5" thickTop="1" thickBot="1">
      <c r="B21" s="28">
        <f t="shared" si="3"/>
        <v>18</v>
      </c>
      <c r="C21" s="15"/>
      <c r="D21" s="15"/>
      <c r="E21" s="47">
        <v>5</v>
      </c>
      <c r="F21" s="14">
        <v>5</v>
      </c>
      <c r="G21" s="33">
        <v>5</v>
      </c>
      <c r="H21" s="16">
        <v>5</v>
      </c>
      <c r="I21" s="17">
        <f t="shared" si="0"/>
        <v>20</v>
      </c>
      <c r="J21" s="2">
        <v>0</v>
      </c>
      <c r="K21" s="43">
        <v>0</v>
      </c>
      <c r="L21" s="14">
        <f t="shared" si="1"/>
        <v>4</v>
      </c>
      <c r="M21" s="50" t="str">
        <f t="shared" si="2"/>
        <v>غير كاف</v>
      </c>
      <c r="N21" s="18"/>
      <c r="O21" s="1"/>
    </row>
    <row r="22" spans="2:15" ht="17.25" thickTop="1" thickBot="1">
      <c r="B22" s="28">
        <f t="shared" si="3"/>
        <v>19</v>
      </c>
      <c r="C22" s="15"/>
      <c r="D22" s="15"/>
      <c r="E22" s="47">
        <v>5</v>
      </c>
      <c r="F22" s="14">
        <v>5</v>
      </c>
      <c r="G22" s="33">
        <v>5</v>
      </c>
      <c r="H22" s="16">
        <v>5</v>
      </c>
      <c r="I22" s="17">
        <f t="shared" si="0"/>
        <v>20</v>
      </c>
      <c r="J22" s="2">
        <v>0</v>
      </c>
      <c r="K22" s="43">
        <v>0</v>
      </c>
      <c r="L22" s="14">
        <f t="shared" si="1"/>
        <v>4</v>
      </c>
      <c r="M22" s="50" t="str">
        <f t="shared" si="2"/>
        <v>غير كاف</v>
      </c>
      <c r="N22" s="18"/>
      <c r="O22" s="7" t="s">
        <v>10</v>
      </c>
    </row>
    <row r="23" spans="2:15" ht="17.25" thickTop="1" thickBot="1">
      <c r="B23" s="28">
        <f t="shared" si="3"/>
        <v>20</v>
      </c>
      <c r="C23" s="15"/>
      <c r="D23" s="15"/>
      <c r="E23" s="47">
        <v>5</v>
      </c>
      <c r="F23" s="14">
        <v>5</v>
      </c>
      <c r="G23" s="33">
        <v>5</v>
      </c>
      <c r="H23" s="16">
        <v>5</v>
      </c>
      <c r="I23" s="17">
        <f t="shared" si="0"/>
        <v>20</v>
      </c>
      <c r="J23" s="2">
        <v>0</v>
      </c>
      <c r="K23" s="43">
        <v>0</v>
      </c>
      <c r="L23" s="14">
        <f t="shared" si="1"/>
        <v>4</v>
      </c>
      <c r="M23" s="50" t="str">
        <f t="shared" si="2"/>
        <v>غير كاف</v>
      </c>
      <c r="N23" s="18"/>
      <c r="O23" s="8">
        <f>COUNTIFS(L:L,"&lt;=20",L:L,"&gt;=10")</f>
        <v>0</v>
      </c>
    </row>
    <row r="24" spans="2:15" ht="17.25" thickTop="1" thickBot="1">
      <c r="B24" s="28">
        <f t="shared" si="3"/>
        <v>21</v>
      </c>
      <c r="C24" s="15"/>
      <c r="D24" s="15"/>
      <c r="E24" s="47">
        <v>5</v>
      </c>
      <c r="F24" s="14">
        <v>5</v>
      </c>
      <c r="G24" s="33">
        <v>5</v>
      </c>
      <c r="H24" s="16">
        <v>5</v>
      </c>
      <c r="I24" s="17">
        <f t="shared" si="0"/>
        <v>20</v>
      </c>
      <c r="J24" s="2">
        <v>0</v>
      </c>
      <c r="K24" s="43">
        <v>0</v>
      </c>
      <c r="L24" s="14">
        <f t="shared" si="1"/>
        <v>4</v>
      </c>
      <c r="M24" s="50" t="str">
        <f t="shared" si="2"/>
        <v>غير كاف</v>
      </c>
      <c r="N24" s="18"/>
      <c r="O24" s="9">
        <f>O23/COUNT(L:L)</f>
        <v>0</v>
      </c>
    </row>
    <row r="25" spans="2:15" ht="16.5" thickTop="1" thickBot="1">
      <c r="B25" s="28">
        <f t="shared" si="3"/>
        <v>22</v>
      </c>
      <c r="C25" s="15"/>
      <c r="D25" s="15"/>
      <c r="E25" s="47">
        <v>5</v>
      </c>
      <c r="F25" s="14">
        <v>5</v>
      </c>
      <c r="G25" s="33">
        <v>5</v>
      </c>
      <c r="H25" s="16">
        <v>5</v>
      </c>
      <c r="I25" s="17">
        <f t="shared" si="0"/>
        <v>20</v>
      </c>
      <c r="J25" s="2">
        <v>0</v>
      </c>
      <c r="K25" s="43">
        <v>0</v>
      </c>
      <c r="L25" s="14">
        <f t="shared" si="1"/>
        <v>4</v>
      </c>
      <c r="M25" s="50" t="str">
        <f t="shared" si="2"/>
        <v>غير كاف</v>
      </c>
      <c r="N25" s="18"/>
      <c r="O25" s="1"/>
    </row>
    <row r="26" spans="2:15" ht="16.5" thickTop="1" thickBot="1">
      <c r="B26" s="28">
        <f t="shared" si="3"/>
        <v>23</v>
      </c>
      <c r="C26" s="15"/>
      <c r="D26" s="15"/>
      <c r="E26" s="47">
        <v>5</v>
      </c>
      <c r="F26" s="14">
        <v>5</v>
      </c>
      <c r="G26" s="33">
        <v>5</v>
      </c>
      <c r="H26" s="16">
        <v>5</v>
      </c>
      <c r="I26" s="17">
        <f t="shared" si="0"/>
        <v>20</v>
      </c>
      <c r="J26" s="2">
        <v>0</v>
      </c>
      <c r="K26" s="43">
        <v>0</v>
      </c>
      <c r="L26" s="14">
        <f t="shared" si="1"/>
        <v>4</v>
      </c>
      <c r="M26" s="50" t="str">
        <f t="shared" si="2"/>
        <v>غير كاف</v>
      </c>
      <c r="N26" s="18"/>
      <c r="O26" s="1"/>
    </row>
    <row r="27" spans="2:15" ht="16.5" thickTop="1" thickBot="1">
      <c r="B27" s="28">
        <f t="shared" si="3"/>
        <v>24</v>
      </c>
      <c r="C27" s="15"/>
      <c r="D27" s="15"/>
      <c r="E27" s="47">
        <v>5</v>
      </c>
      <c r="F27" s="14">
        <v>5</v>
      </c>
      <c r="G27" s="33">
        <v>5</v>
      </c>
      <c r="H27" s="16">
        <v>5</v>
      </c>
      <c r="I27" s="17">
        <f t="shared" si="0"/>
        <v>20</v>
      </c>
      <c r="J27" s="2">
        <v>0</v>
      </c>
      <c r="K27" s="43">
        <v>0</v>
      </c>
      <c r="L27" s="14">
        <f t="shared" si="1"/>
        <v>4</v>
      </c>
      <c r="M27" s="50" t="str">
        <f t="shared" si="2"/>
        <v>غير كاف</v>
      </c>
      <c r="N27" s="18"/>
      <c r="O27" s="1"/>
    </row>
    <row r="28" spans="2:15" ht="16.5" thickTop="1" thickBot="1">
      <c r="B28" s="28">
        <f t="shared" si="3"/>
        <v>25</v>
      </c>
      <c r="C28" s="15"/>
      <c r="D28" s="15"/>
      <c r="E28" s="47">
        <v>5</v>
      </c>
      <c r="F28" s="14">
        <v>5</v>
      </c>
      <c r="G28" s="33">
        <v>5</v>
      </c>
      <c r="H28" s="16">
        <v>5</v>
      </c>
      <c r="I28" s="17">
        <f t="shared" si="0"/>
        <v>20</v>
      </c>
      <c r="J28" s="2">
        <v>0</v>
      </c>
      <c r="K28" s="43">
        <v>0</v>
      </c>
      <c r="L28" s="14">
        <f t="shared" si="1"/>
        <v>4</v>
      </c>
      <c r="M28" s="50" t="str">
        <f t="shared" si="2"/>
        <v>غير كاف</v>
      </c>
      <c r="N28" s="18"/>
    </row>
    <row r="29" spans="2:15" ht="16.5" thickTop="1" thickBot="1">
      <c r="B29" s="28">
        <f t="shared" si="3"/>
        <v>26</v>
      </c>
      <c r="C29" s="15"/>
      <c r="D29" s="15"/>
      <c r="E29" s="47">
        <v>5</v>
      </c>
      <c r="F29" s="14">
        <v>5</v>
      </c>
      <c r="G29" s="33">
        <v>5</v>
      </c>
      <c r="H29" s="16">
        <v>5</v>
      </c>
      <c r="I29" s="17">
        <f t="shared" si="0"/>
        <v>20</v>
      </c>
      <c r="J29" s="2">
        <v>0</v>
      </c>
      <c r="K29" s="43">
        <v>0</v>
      </c>
      <c r="L29" s="14">
        <f t="shared" si="1"/>
        <v>4</v>
      </c>
      <c r="M29" s="50" t="str">
        <f t="shared" si="2"/>
        <v>غير كاف</v>
      </c>
      <c r="N29" s="18"/>
    </row>
    <row r="30" spans="2:15" ht="16.5" thickTop="1" thickBot="1">
      <c r="B30" s="28">
        <f t="shared" si="3"/>
        <v>27</v>
      </c>
      <c r="C30" s="15"/>
      <c r="D30" s="15"/>
      <c r="E30" s="47">
        <v>5</v>
      </c>
      <c r="F30" s="14">
        <v>5</v>
      </c>
      <c r="G30" s="33">
        <v>5</v>
      </c>
      <c r="H30" s="16">
        <v>5</v>
      </c>
      <c r="I30" s="17">
        <f t="shared" si="0"/>
        <v>20</v>
      </c>
      <c r="J30" s="2">
        <v>0</v>
      </c>
      <c r="K30" s="43">
        <v>0</v>
      </c>
      <c r="L30" s="14">
        <f t="shared" si="1"/>
        <v>4</v>
      </c>
      <c r="M30" s="50" t="str">
        <f t="shared" si="2"/>
        <v>غير كاف</v>
      </c>
      <c r="N30" s="18"/>
    </row>
    <row r="31" spans="2:15" ht="16.5" thickTop="1" thickBot="1">
      <c r="B31" s="28">
        <f t="shared" si="3"/>
        <v>28</v>
      </c>
      <c r="C31" s="15"/>
      <c r="D31" s="15"/>
      <c r="E31" s="47">
        <v>5</v>
      </c>
      <c r="F31" s="14">
        <v>5</v>
      </c>
      <c r="G31" s="33">
        <v>5</v>
      </c>
      <c r="H31" s="16">
        <v>5</v>
      </c>
      <c r="I31" s="17">
        <f t="shared" si="0"/>
        <v>20</v>
      </c>
      <c r="J31" s="2">
        <v>0</v>
      </c>
      <c r="K31" s="43">
        <v>0</v>
      </c>
      <c r="L31" s="14">
        <f t="shared" si="1"/>
        <v>4</v>
      </c>
      <c r="M31" s="50" t="str">
        <f t="shared" si="2"/>
        <v>غير كاف</v>
      </c>
      <c r="N31" s="18"/>
    </row>
    <row r="32" spans="2:15" ht="16.5" thickTop="1" thickBot="1">
      <c r="B32" s="28">
        <f t="shared" si="3"/>
        <v>29</v>
      </c>
      <c r="C32" s="15"/>
      <c r="D32" s="15"/>
      <c r="E32" s="47">
        <v>5</v>
      </c>
      <c r="F32" s="14">
        <v>5</v>
      </c>
      <c r="G32" s="33">
        <v>5</v>
      </c>
      <c r="H32" s="16">
        <v>5</v>
      </c>
      <c r="I32" s="17">
        <f t="shared" si="0"/>
        <v>20</v>
      </c>
      <c r="J32" s="2">
        <v>0</v>
      </c>
      <c r="K32" s="43">
        <v>0</v>
      </c>
      <c r="L32" s="14">
        <f t="shared" si="1"/>
        <v>4</v>
      </c>
      <c r="M32" s="50" t="str">
        <f t="shared" si="2"/>
        <v>غير كاف</v>
      </c>
      <c r="N32" s="18"/>
    </row>
    <row r="33" spans="2:19" ht="16.5" thickTop="1" thickBot="1">
      <c r="B33" s="28">
        <f t="shared" si="3"/>
        <v>30</v>
      </c>
      <c r="C33" s="15"/>
      <c r="D33" s="15"/>
      <c r="E33" s="47">
        <v>5</v>
      </c>
      <c r="F33" s="14">
        <v>5</v>
      </c>
      <c r="G33" s="33">
        <v>5</v>
      </c>
      <c r="H33" s="16">
        <v>5</v>
      </c>
      <c r="I33" s="17">
        <f t="shared" si="0"/>
        <v>20</v>
      </c>
      <c r="J33" s="2">
        <v>0</v>
      </c>
      <c r="K33" s="43">
        <v>0</v>
      </c>
      <c r="L33" s="14">
        <f t="shared" si="1"/>
        <v>4</v>
      </c>
      <c r="M33" s="50" t="str">
        <f t="shared" si="2"/>
        <v>غير كاف</v>
      </c>
      <c r="N33" s="18"/>
    </row>
    <row r="34" spans="2:19" ht="16.5" thickTop="1" thickBot="1">
      <c r="B34" s="28">
        <f t="shared" si="3"/>
        <v>31</v>
      </c>
      <c r="C34" s="15"/>
      <c r="D34" s="15"/>
      <c r="E34" s="47">
        <v>5</v>
      </c>
      <c r="F34" s="14">
        <v>5</v>
      </c>
      <c r="G34" s="33">
        <v>5</v>
      </c>
      <c r="H34" s="16">
        <v>5</v>
      </c>
      <c r="I34" s="17">
        <f t="shared" si="0"/>
        <v>20</v>
      </c>
      <c r="J34" s="2">
        <v>0</v>
      </c>
      <c r="K34" s="43">
        <v>0</v>
      </c>
      <c r="L34" s="14">
        <f t="shared" si="1"/>
        <v>4</v>
      </c>
      <c r="M34" s="50" t="str">
        <f t="shared" si="2"/>
        <v>غير كاف</v>
      </c>
      <c r="N34" s="18"/>
    </row>
    <row r="35" spans="2:19" ht="16.5" thickTop="1" thickBot="1">
      <c r="B35" s="28">
        <f t="shared" si="3"/>
        <v>32</v>
      </c>
      <c r="C35" s="15"/>
      <c r="D35" s="15"/>
      <c r="E35" s="47">
        <v>5</v>
      </c>
      <c r="F35" s="14">
        <v>5</v>
      </c>
      <c r="G35" s="33">
        <v>5</v>
      </c>
      <c r="H35" s="16">
        <v>5</v>
      </c>
      <c r="I35" s="17">
        <f t="shared" si="0"/>
        <v>20</v>
      </c>
      <c r="J35" s="2">
        <v>0</v>
      </c>
      <c r="K35" s="43">
        <v>0</v>
      </c>
      <c r="L35" s="14">
        <f t="shared" si="1"/>
        <v>4</v>
      </c>
      <c r="M35" s="50" t="str">
        <f t="shared" si="2"/>
        <v>غير كاف</v>
      </c>
      <c r="N35" s="18"/>
    </row>
    <row r="36" spans="2:19" ht="16.5" thickTop="1" thickBot="1">
      <c r="B36" s="28">
        <f t="shared" si="3"/>
        <v>33</v>
      </c>
      <c r="C36" s="15"/>
      <c r="D36" s="15"/>
      <c r="E36" s="47">
        <v>5</v>
      </c>
      <c r="F36" s="14">
        <v>5</v>
      </c>
      <c r="G36" s="33">
        <v>5</v>
      </c>
      <c r="H36" s="16">
        <v>5</v>
      </c>
      <c r="I36" s="17">
        <f t="shared" si="0"/>
        <v>20</v>
      </c>
      <c r="J36" s="2">
        <v>0</v>
      </c>
      <c r="K36" s="43">
        <v>0</v>
      </c>
      <c r="L36" s="14">
        <f t="shared" si="1"/>
        <v>4</v>
      </c>
      <c r="M36" s="50" t="str">
        <f t="shared" si="2"/>
        <v>غير كاف</v>
      </c>
      <c r="N36" s="18"/>
      <c r="S36" s="69"/>
    </row>
    <row r="37" spans="2:19" ht="16.5" thickTop="1" thickBot="1">
      <c r="B37" s="28">
        <f t="shared" si="3"/>
        <v>34</v>
      </c>
      <c r="C37" s="15"/>
      <c r="D37" s="15"/>
      <c r="E37" s="47">
        <v>5</v>
      </c>
      <c r="F37" s="14">
        <v>5</v>
      </c>
      <c r="G37" s="33">
        <v>5</v>
      </c>
      <c r="H37" s="16">
        <v>5</v>
      </c>
      <c r="I37" s="17">
        <f t="shared" si="0"/>
        <v>20</v>
      </c>
      <c r="J37" s="2">
        <v>0</v>
      </c>
      <c r="K37" s="43">
        <v>0</v>
      </c>
      <c r="L37" s="14">
        <f t="shared" si="1"/>
        <v>4</v>
      </c>
      <c r="M37" s="50" t="str">
        <f t="shared" si="2"/>
        <v>غير كاف</v>
      </c>
      <c r="N37" s="18"/>
    </row>
    <row r="38" spans="2:19" ht="16.5" thickTop="1" thickBot="1">
      <c r="B38" s="28">
        <f t="shared" si="3"/>
        <v>35</v>
      </c>
      <c r="C38" s="15"/>
      <c r="D38" s="15"/>
      <c r="E38" s="47">
        <v>5</v>
      </c>
      <c r="F38" s="14">
        <v>5</v>
      </c>
      <c r="G38" s="33">
        <v>5</v>
      </c>
      <c r="H38" s="16">
        <v>5</v>
      </c>
      <c r="I38" s="17">
        <f t="shared" si="0"/>
        <v>20</v>
      </c>
      <c r="J38" s="2">
        <v>0</v>
      </c>
      <c r="K38" s="43">
        <v>0</v>
      </c>
      <c r="L38" s="14">
        <f t="shared" si="1"/>
        <v>4</v>
      </c>
      <c r="M38" s="50" t="str">
        <f t="shared" si="2"/>
        <v>غير كاف</v>
      </c>
      <c r="N38" s="18"/>
    </row>
    <row r="39" spans="2:19" ht="16.5" thickTop="1" thickBot="1">
      <c r="B39" s="28">
        <f t="shared" si="3"/>
        <v>36</v>
      </c>
      <c r="C39" s="15"/>
      <c r="D39" s="15"/>
      <c r="E39" s="47">
        <v>5</v>
      </c>
      <c r="F39" s="14">
        <v>5</v>
      </c>
      <c r="G39" s="33">
        <v>5</v>
      </c>
      <c r="H39" s="16">
        <v>5</v>
      </c>
      <c r="I39" s="17">
        <f t="shared" si="0"/>
        <v>20</v>
      </c>
      <c r="J39" s="2">
        <v>0</v>
      </c>
      <c r="K39" s="43">
        <v>0</v>
      </c>
      <c r="L39" s="14">
        <f t="shared" si="1"/>
        <v>4</v>
      </c>
      <c r="M39" s="50" t="str">
        <f t="shared" si="2"/>
        <v>غير كاف</v>
      </c>
      <c r="N39" s="18"/>
    </row>
    <row r="40" spans="2:19" ht="16.5" thickTop="1" thickBot="1">
      <c r="B40" s="28">
        <f t="shared" si="3"/>
        <v>37</v>
      </c>
      <c r="C40" s="15"/>
      <c r="D40" s="15"/>
      <c r="E40" s="47">
        <v>5</v>
      </c>
      <c r="F40" s="14">
        <v>5</v>
      </c>
      <c r="G40" s="33">
        <v>5</v>
      </c>
      <c r="H40" s="16">
        <v>5</v>
      </c>
      <c r="I40" s="17">
        <f t="shared" si="0"/>
        <v>20</v>
      </c>
      <c r="J40" s="2">
        <v>0</v>
      </c>
      <c r="K40" s="43">
        <v>0</v>
      </c>
      <c r="L40" s="14">
        <f t="shared" si="1"/>
        <v>4</v>
      </c>
      <c r="M40" s="50" t="str">
        <f t="shared" si="2"/>
        <v>غير كاف</v>
      </c>
      <c r="N40" s="18"/>
    </row>
    <row r="41" spans="2:19" ht="16.5" thickTop="1" thickBot="1">
      <c r="B41" s="59">
        <f t="shared" si="3"/>
        <v>38</v>
      </c>
      <c r="C41" s="60"/>
      <c r="D41" s="60"/>
      <c r="E41" s="61">
        <v>5</v>
      </c>
      <c r="F41" s="62">
        <v>5</v>
      </c>
      <c r="G41" s="63">
        <v>5</v>
      </c>
      <c r="H41" s="64">
        <v>5</v>
      </c>
      <c r="I41" s="65">
        <f t="shared" si="0"/>
        <v>20</v>
      </c>
      <c r="J41" s="66">
        <v>0</v>
      </c>
      <c r="K41" s="67">
        <v>0</v>
      </c>
      <c r="L41" s="62">
        <f t="shared" si="1"/>
        <v>4</v>
      </c>
      <c r="M41" s="50" t="str">
        <f t="shared" si="2"/>
        <v>غير كاف</v>
      </c>
      <c r="N41" s="58"/>
    </row>
    <row r="42" spans="2:19" ht="15.75" thickTop="1">
      <c r="B42" s="28">
        <f t="shared" si="3"/>
        <v>39</v>
      </c>
      <c r="C42" s="68"/>
      <c r="D42" s="68"/>
      <c r="E42" s="47">
        <v>5</v>
      </c>
      <c r="F42" s="14">
        <v>5</v>
      </c>
      <c r="G42" s="33">
        <v>5</v>
      </c>
      <c r="H42" s="16">
        <v>5</v>
      </c>
      <c r="I42" s="17">
        <f t="shared" ref="I42" si="4">SUM(E42:H42)</f>
        <v>20</v>
      </c>
      <c r="J42" s="2">
        <v>0</v>
      </c>
      <c r="K42" s="43">
        <v>0</v>
      </c>
      <c r="L42" s="14">
        <f t="shared" ref="L42" si="5">(J42+I42+K42*3)/5</f>
        <v>4</v>
      </c>
      <c r="M42" s="50" t="str">
        <f t="shared" si="2"/>
        <v>غير كاف</v>
      </c>
      <c r="N42" s="18"/>
    </row>
  </sheetData>
  <pageMargins left="0.25" right="0.25" top="0.75" bottom="0.75" header="0.3" footer="0.3"/>
  <pageSetup paperSize="9" scale="7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4"/>
  <sheetViews>
    <sheetView rightToLeft="1" topLeftCell="A23" zoomScaleNormal="100" workbookViewId="0">
      <selection activeCell="P41" sqref="P41"/>
    </sheetView>
  </sheetViews>
  <sheetFormatPr baseColWidth="10" defaultColWidth="9.140625" defaultRowHeight="15"/>
  <cols>
    <col min="2" max="2" width="4.7109375" customWidth="1"/>
    <col min="3" max="3" width="9.140625" customWidth="1"/>
    <col min="4" max="4" width="12.28515625" customWidth="1"/>
    <col min="5" max="5" width="7.28515625" customWidth="1"/>
    <col min="6" max="6" width="7.140625" customWidth="1"/>
    <col min="7" max="7" width="7.42578125" customWidth="1"/>
    <col min="8" max="8" width="7.5703125" customWidth="1"/>
    <col min="9" max="9" width="7.42578125" customWidth="1"/>
    <col min="10" max="10" width="5.85546875" customWidth="1"/>
    <col min="11" max="11" width="6.42578125" customWidth="1"/>
    <col min="12" max="12" width="6.85546875" customWidth="1"/>
    <col min="13" max="14" width="10.42578125" customWidth="1"/>
    <col min="15" max="15" width="9.7109375" customWidth="1"/>
  </cols>
  <sheetData>
    <row r="2" spans="2:16" ht="63.75" customHeight="1" thickBot="1">
      <c r="C2" s="48" t="s">
        <v>19</v>
      </c>
      <c r="N2" s="51"/>
    </row>
    <row r="3" spans="2:16" ht="31.5" thickTop="1" thickBot="1">
      <c r="B3" s="29" t="s">
        <v>11</v>
      </c>
      <c r="C3" s="31" t="s">
        <v>0</v>
      </c>
      <c r="D3" s="32" t="s">
        <v>1</v>
      </c>
      <c r="E3" s="37" t="s">
        <v>13</v>
      </c>
      <c r="F3" s="38" t="s">
        <v>14</v>
      </c>
      <c r="G3" s="39" t="s">
        <v>16</v>
      </c>
      <c r="H3" s="40" t="s">
        <v>15</v>
      </c>
      <c r="I3" s="52" t="s">
        <v>12</v>
      </c>
      <c r="J3" s="53" t="s">
        <v>2</v>
      </c>
      <c r="K3" s="54" t="s">
        <v>3</v>
      </c>
      <c r="L3" s="49" t="s">
        <v>4</v>
      </c>
      <c r="M3" s="55" t="s">
        <v>5</v>
      </c>
      <c r="N3" s="56" t="s">
        <v>18</v>
      </c>
      <c r="O3" s="1"/>
    </row>
    <row r="4" spans="2:16" ht="16.5" thickTop="1" thickBot="1">
      <c r="B4" s="30">
        <v>1</v>
      </c>
      <c r="C4" s="15"/>
      <c r="D4" s="15"/>
      <c r="E4" s="44">
        <v>5</v>
      </c>
      <c r="F4" s="46">
        <v>5</v>
      </c>
      <c r="G4" s="34">
        <v>5</v>
      </c>
      <c r="H4" s="45">
        <v>5</v>
      </c>
      <c r="I4" s="35">
        <f t="shared" ref="I4:I42" si="0">SUM(E4:H4)</f>
        <v>20</v>
      </c>
      <c r="J4" s="36">
        <v>0</v>
      </c>
      <c r="K4" s="42">
        <v>0</v>
      </c>
      <c r="L4" s="41">
        <f>(J4+I4+K4*3)/5</f>
        <v>4</v>
      </c>
      <c r="M4" s="50" t="str">
        <f>IF(L4&gt;=17, "عمل ممتاز",
 IF(L4&gt;=16, "جيد جدا",
IF(L4&gt;=14, "نتائج جيدة",
IF(L4&gt;=12, "نتائج حسنة",
IF(L4&gt;=10, "نتائج متوسطة",
IF(L4&gt;=9, "دون المتوسط",
IF(L4&gt;=0, "غير كاف" )))))))</f>
        <v>غير كاف</v>
      </c>
      <c r="N4" s="57"/>
      <c r="O4" s="20" t="s">
        <v>6</v>
      </c>
      <c r="P4" s="19"/>
    </row>
    <row r="5" spans="2:16" ht="16.5" thickTop="1" thickBot="1">
      <c r="B5" s="28">
        <f>B4+1</f>
        <v>2</v>
      </c>
      <c r="C5" s="15"/>
      <c r="D5" s="15"/>
      <c r="E5" s="47">
        <v>5</v>
      </c>
      <c r="F5" s="14">
        <v>5</v>
      </c>
      <c r="G5" s="33">
        <v>5</v>
      </c>
      <c r="H5" s="16">
        <v>5</v>
      </c>
      <c r="I5" s="17">
        <f t="shared" si="0"/>
        <v>20</v>
      </c>
      <c r="J5" s="2">
        <v>0</v>
      </c>
      <c r="K5" s="43">
        <v>0</v>
      </c>
      <c r="L5" s="14">
        <f t="shared" ref="L5:L42" si="1">(J5+I5+K5*3)/5</f>
        <v>4</v>
      </c>
      <c r="M5" s="50" t="str">
        <f t="shared" ref="M5:M42" si="2">IF(L5&gt;=17, "عمل ممتاز",
 IF(L5&gt;=16, "جيد جدا",
IF(L5&gt;=14, "نتائج جيدة",
IF(L5&gt;=12, "نتائج حسنة",
IF(L5&gt;=10, "نتائج متوسطة",
IF(L5&gt;=9, "دون المتوسط",
IF(L5&gt;=0, "غير كاف" )))))))</f>
        <v>غير كاف</v>
      </c>
      <c r="N5" s="18"/>
      <c r="O5" s="21">
        <f>MAX(L:L)</f>
        <v>4</v>
      </c>
      <c r="P5" s="19"/>
    </row>
    <row r="6" spans="2:16" ht="16.5" thickTop="1" thickBot="1">
      <c r="B6" s="28">
        <f t="shared" ref="B6:B42" si="3">B5+1</f>
        <v>3</v>
      </c>
      <c r="C6" s="15"/>
      <c r="D6" s="15"/>
      <c r="E6" s="47">
        <v>5</v>
      </c>
      <c r="F6" s="14">
        <v>5</v>
      </c>
      <c r="G6" s="33">
        <v>5</v>
      </c>
      <c r="H6" s="16">
        <v>5</v>
      </c>
      <c r="I6" s="17">
        <f t="shared" si="0"/>
        <v>20</v>
      </c>
      <c r="J6" s="2">
        <v>0</v>
      </c>
      <c r="K6" s="43">
        <v>0</v>
      </c>
      <c r="L6" s="14">
        <f t="shared" si="1"/>
        <v>4</v>
      </c>
      <c r="M6" s="50" t="str">
        <f t="shared" si="2"/>
        <v>غير كاف</v>
      </c>
      <c r="N6" s="18"/>
      <c r="O6" s="3"/>
    </row>
    <row r="7" spans="2:16" ht="16.5" thickTop="1" thickBot="1">
      <c r="B7" s="28">
        <f t="shared" si="3"/>
        <v>4</v>
      </c>
      <c r="C7" s="15"/>
      <c r="D7" s="15"/>
      <c r="E7" s="47">
        <v>5</v>
      </c>
      <c r="F7" s="14">
        <v>5</v>
      </c>
      <c r="G7" s="33">
        <v>5</v>
      </c>
      <c r="H7" s="16">
        <v>5</v>
      </c>
      <c r="I7" s="17">
        <f t="shared" si="0"/>
        <v>20</v>
      </c>
      <c r="J7" s="2">
        <v>0</v>
      </c>
      <c r="K7" s="43">
        <v>0</v>
      </c>
      <c r="L7" s="14">
        <f t="shared" si="1"/>
        <v>4</v>
      </c>
      <c r="M7" s="50" t="str">
        <f t="shared" si="2"/>
        <v>غير كاف</v>
      </c>
      <c r="N7" s="18"/>
      <c r="O7" s="22" t="s">
        <v>7</v>
      </c>
    </row>
    <row r="8" spans="2:16" ht="16.5" thickTop="1" thickBot="1">
      <c r="B8" s="28">
        <f t="shared" si="3"/>
        <v>5</v>
      </c>
      <c r="C8" s="15"/>
      <c r="D8" s="15"/>
      <c r="E8" s="47">
        <v>5</v>
      </c>
      <c r="F8" s="14">
        <v>5</v>
      </c>
      <c r="G8" s="33">
        <v>5</v>
      </c>
      <c r="H8" s="16">
        <v>5</v>
      </c>
      <c r="I8" s="17">
        <f t="shared" si="0"/>
        <v>20</v>
      </c>
      <c r="J8" s="2">
        <v>0</v>
      </c>
      <c r="K8" s="43">
        <v>0</v>
      </c>
      <c r="L8" s="14">
        <f t="shared" si="1"/>
        <v>4</v>
      </c>
      <c r="M8" s="50" t="str">
        <f t="shared" si="2"/>
        <v>غير كاف</v>
      </c>
      <c r="N8" s="18"/>
      <c r="O8" s="23">
        <f>MIN(L:L)</f>
        <v>4</v>
      </c>
      <c r="P8" s="19"/>
    </row>
    <row r="9" spans="2:16" ht="16.5" thickTop="1" thickBot="1">
      <c r="B9" s="28">
        <f t="shared" si="3"/>
        <v>6</v>
      </c>
      <c r="C9" s="15"/>
      <c r="D9" s="15"/>
      <c r="E9" s="47">
        <v>5</v>
      </c>
      <c r="F9" s="14">
        <v>5</v>
      </c>
      <c r="G9" s="33">
        <v>5</v>
      </c>
      <c r="H9" s="16">
        <v>5</v>
      </c>
      <c r="I9" s="17">
        <f t="shared" si="0"/>
        <v>20</v>
      </c>
      <c r="J9" s="2">
        <v>0</v>
      </c>
      <c r="K9" s="43">
        <v>0</v>
      </c>
      <c r="L9" s="14">
        <f t="shared" si="1"/>
        <v>4</v>
      </c>
      <c r="M9" s="50" t="str">
        <f t="shared" si="2"/>
        <v>غير كاف</v>
      </c>
      <c r="N9" s="18"/>
      <c r="O9" s="24"/>
    </row>
    <row r="10" spans="2:16" ht="16.5" thickTop="1" thickBot="1">
      <c r="B10" s="28">
        <f t="shared" si="3"/>
        <v>7</v>
      </c>
      <c r="C10" s="15"/>
      <c r="D10" s="15"/>
      <c r="E10" s="47">
        <v>5</v>
      </c>
      <c r="F10" s="14">
        <v>5</v>
      </c>
      <c r="G10" s="33">
        <v>5</v>
      </c>
      <c r="H10" s="16">
        <v>5</v>
      </c>
      <c r="I10" s="17">
        <f t="shared" si="0"/>
        <v>20</v>
      </c>
      <c r="J10" s="2">
        <v>0</v>
      </c>
      <c r="K10" s="43">
        <v>0</v>
      </c>
      <c r="L10" s="14">
        <f t="shared" si="1"/>
        <v>4</v>
      </c>
      <c r="M10" s="50" t="str">
        <f t="shared" si="2"/>
        <v>غير كاف</v>
      </c>
      <c r="N10" s="18"/>
      <c r="O10" s="4"/>
    </row>
    <row r="11" spans="2:16" ht="16.5" thickTop="1" thickBot="1">
      <c r="B11" s="28">
        <f t="shared" si="3"/>
        <v>8</v>
      </c>
      <c r="C11" s="15"/>
      <c r="D11" s="15"/>
      <c r="E11" s="47">
        <v>5</v>
      </c>
      <c r="F11" s="14">
        <v>5</v>
      </c>
      <c r="G11" s="33">
        <v>5</v>
      </c>
      <c r="H11" s="16">
        <v>5</v>
      </c>
      <c r="I11" s="17">
        <f t="shared" si="0"/>
        <v>20</v>
      </c>
      <c r="J11" s="2">
        <v>0</v>
      </c>
      <c r="K11" s="43">
        <v>0</v>
      </c>
      <c r="L11" s="14">
        <f t="shared" si="1"/>
        <v>4</v>
      </c>
      <c r="M11" s="50" t="str">
        <f t="shared" si="2"/>
        <v>غير كاف</v>
      </c>
      <c r="N11" s="18"/>
      <c r="O11" s="25" t="s">
        <v>8</v>
      </c>
    </row>
    <row r="12" spans="2:16" ht="16.5" thickTop="1" thickBot="1">
      <c r="B12" s="28">
        <f t="shared" si="3"/>
        <v>9</v>
      </c>
      <c r="C12" s="15"/>
      <c r="D12" s="15"/>
      <c r="E12" s="47">
        <v>5</v>
      </c>
      <c r="F12" s="14">
        <v>5</v>
      </c>
      <c r="G12" s="33">
        <v>5</v>
      </c>
      <c r="H12" s="16">
        <v>5</v>
      </c>
      <c r="I12" s="17">
        <f t="shared" si="0"/>
        <v>20</v>
      </c>
      <c r="J12" s="2">
        <v>0</v>
      </c>
      <c r="K12" s="43">
        <v>0</v>
      </c>
      <c r="L12" s="14">
        <f t="shared" si="1"/>
        <v>4</v>
      </c>
      <c r="M12" s="50" t="str">
        <f t="shared" si="2"/>
        <v>غير كاف</v>
      </c>
      <c r="N12" s="18"/>
      <c r="O12" s="26">
        <f>AVERAGE(L:L)</f>
        <v>4</v>
      </c>
    </row>
    <row r="13" spans="2:16" ht="16.5" thickTop="1" thickBot="1">
      <c r="B13" s="28">
        <f t="shared" si="3"/>
        <v>10</v>
      </c>
      <c r="C13" s="15"/>
      <c r="D13" s="15"/>
      <c r="E13" s="47">
        <v>5</v>
      </c>
      <c r="F13" s="14">
        <v>5</v>
      </c>
      <c r="G13" s="33">
        <v>5</v>
      </c>
      <c r="H13" s="16">
        <v>5</v>
      </c>
      <c r="I13" s="17">
        <f t="shared" si="0"/>
        <v>20</v>
      </c>
      <c r="J13" s="2">
        <v>0</v>
      </c>
      <c r="K13" s="43">
        <v>0</v>
      </c>
      <c r="L13" s="14">
        <f t="shared" si="1"/>
        <v>4</v>
      </c>
      <c r="M13" s="50" t="str">
        <f t="shared" si="2"/>
        <v>غير كاف</v>
      </c>
      <c r="N13" s="18"/>
      <c r="O13" s="27"/>
    </row>
    <row r="14" spans="2:16" ht="16.5" thickTop="1" thickBot="1">
      <c r="B14" s="28">
        <f t="shared" si="3"/>
        <v>11</v>
      </c>
      <c r="C14" s="15"/>
      <c r="D14" s="15"/>
      <c r="E14" s="47">
        <v>5</v>
      </c>
      <c r="F14" s="14">
        <v>5</v>
      </c>
      <c r="G14" s="33">
        <v>5</v>
      </c>
      <c r="H14" s="16">
        <v>5</v>
      </c>
      <c r="I14" s="17">
        <f t="shared" si="0"/>
        <v>20</v>
      </c>
      <c r="J14" s="2">
        <v>0</v>
      </c>
      <c r="K14" s="43">
        <v>0</v>
      </c>
      <c r="L14" s="14">
        <f t="shared" si="1"/>
        <v>4</v>
      </c>
      <c r="M14" s="50" t="str">
        <f t="shared" si="2"/>
        <v>غير كاف</v>
      </c>
      <c r="N14" s="18"/>
      <c r="O14" s="1"/>
    </row>
    <row r="15" spans="2:16" ht="16.5" thickTop="1" thickBot="1">
      <c r="B15" s="28">
        <f t="shared" si="3"/>
        <v>12</v>
      </c>
      <c r="C15" s="15"/>
      <c r="D15" s="15"/>
      <c r="E15" s="47">
        <v>5</v>
      </c>
      <c r="F15" s="14">
        <v>5</v>
      </c>
      <c r="G15" s="33">
        <v>5</v>
      </c>
      <c r="H15" s="16">
        <v>5</v>
      </c>
      <c r="I15" s="17">
        <f t="shared" si="0"/>
        <v>20</v>
      </c>
      <c r="J15" s="2">
        <v>0</v>
      </c>
      <c r="K15" s="43">
        <v>0</v>
      </c>
      <c r="L15" s="14">
        <f t="shared" si="1"/>
        <v>4</v>
      </c>
      <c r="M15" s="50" t="str">
        <f t="shared" si="2"/>
        <v>غير كاف</v>
      </c>
      <c r="N15" s="18"/>
      <c r="O15" s="1"/>
    </row>
    <row r="16" spans="2:16" ht="16.5" thickTop="1" thickBot="1">
      <c r="B16" s="28">
        <f t="shared" si="3"/>
        <v>13</v>
      </c>
      <c r="C16" s="15"/>
      <c r="D16" s="15"/>
      <c r="E16" s="47">
        <v>5</v>
      </c>
      <c r="F16" s="14">
        <v>5</v>
      </c>
      <c r="G16" s="33">
        <v>5</v>
      </c>
      <c r="H16" s="16">
        <v>5</v>
      </c>
      <c r="I16" s="17">
        <f t="shared" si="0"/>
        <v>20</v>
      </c>
      <c r="J16" s="2">
        <v>0</v>
      </c>
      <c r="K16" s="43">
        <v>0</v>
      </c>
      <c r="L16" s="14">
        <f t="shared" si="1"/>
        <v>4</v>
      </c>
      <c r="M16" s="50" t="str">
        <f t="shared" si="2"/>
        <v>غير كاف</v>
      </c>
      <c r="N16" s="18"/>
      <c r="O16" s="1"/>
    </row>
    <row r="17" spans="2:15" ht="16.5" thickTop="1" thickBot="1">
      <c r="B17" s="28">
        <f t="shared" si="3"/>
        <v>14</v>
      </c>
      <c r="C17" s="15"/>
      <c r="D17" s="15"/>
      <c r="E17" s="47">
        <v>5</v>
      </c>
      <c r="F17" s="14">
        <v>5</v>
      </c>
      <c r="G17" s="33">
        <v>5</v>
      </c>
      <c r="H17" s="16">
        <v>5</v>
      </c>
      <c r="I17" s="17">
        <f t="shared" si="0"/>
        <v>20</v>
      </c>
      <c r="J17" s="2">
        <v>0</v>
      </c>
      <c r="K17" s="43">
        <v>0</v>
      </c>
      <c r="L17" s="14">
        <f t="shared" si="1"/>
        <v>4</v>
      </c>
      <c r="M17" s="50" t="str">
        <f t="shared" si="2"/>
        <v>غير كاف</v>
      </c>
      <c r="N17" s="18"/>
      <c r="O17" s="1"/>
    </row>
    <row r="18" spans="2:15" ht="17.25" thickTop="1" thickBot="1">
      <c r="B18" s="28">
        <f t="shared" si="3"/>
        <v>15</v>
      </c>
      <c r="C18" s="15"/>
      <c r="D18" s="15"/>
      <c r="E18" s="47">
        <v>5</v>
      </c>
      <c r="F18" s="14">
        <v>5</v>
      </c>
      <c r="G18" s="33">
        <v>5</v>
      </c>
      <c r="H18" s="16">
        <v>5</v>
      </c>
      <c r="I18" s="17">
        <f t="shared" si="0"/>
        <v>20</v>
      </c>
      <c r="J18" s="2">
        <v>0</v>
      </c>
      <c r="K18" s="43">
        <v>0</v>
      </c>
      <c r="L18" s="14">
        <f t="shared" si="1"/>
        <v>4</v>
      </c>
      <c r="M18" s="50" t="str">
        <f t="shared" si="2"/>
        <v>غير كاف</v>
      </c>
      <c r="N18" s="18"/>
      <c r="O18" s="5" t="s">
        <v>9</v>
      </c>
    </row>
    <row r="19" spans="2:15" ht="17.25" thickTop="1" thickBot="1">
      <c r="B19" s="28">
        <f t="shared" si="3"/>
        <v>16</v>
      </c>
      <c r="C19" s="15"/>
      <c r="D19" s="15"/>
      <c r="E19" s="47">
        <v>5</v>
      </c>
      <c r="F19" s="14">
        <v>5</v>
      </c>
      <c r="G19" s="33">
        <v>5</v>
      </c>
      <c r="H19" s="16">
        <v>5</v>
      </c>
      <c r="I19" s="17">
        <f t="shared" si="0"/>
        <v>20</v>
      </c>
      <c r="J19" s="2">
        <v>0</v>
      </c>
      <c r="K19" s="43">
        <v>0</v>
      </c>
      <c r="L19" s="14">
        <f t="shared" si="1"/>
        <v>4</v>
      </c>
      <c r="M19" s="50" t="str">
        <f t="shared" si="2"/>
        <v>غير كاف</v>
      </c>
      <c r="N19" s="18"/>
      <c r="O19" s="5">
        <f>COUNTIFS(L:L,"&lt;10",L:L,"&gt;=0")</f>
        <v>39</v>
      </c>
    </row>
    <row r="20" spans="2:15" ht="17.25" thickTop="1" thickBot="1">
      <c r="B20" s="28">
        <f t="shared" si="3"/>
        <v>17</v>
      </c>
      <c r="C20" s="15"/>
      <c r="D20" s="15"/>
      <c r="E20" s="47">
        <v>5</v>
      </c>
      <c r="F20" s="14">
        <v>5</v>
      </c>
      <c r="G20" s="33">
        <v>5</v>
      </c>
      <c r="H20" s="16">
        <v>5</v>
      </c>
      <c r="I20" s="17">
        <f t="shared" si="0"/>
        <v>20</v>
      </c>
      <c r="J20" s="2">
        <v>0</v>
      </c>
      <c r="K20" s="43">
        <v>0</v>
      </c>
      <c r="L20" s="14">
        <f t="shared" si="1"/>
        <v>4</v>
      </c>
      <c r="M20" s="50" t="str">
        <f t="shared" si="2"/>
        <v>غير كاف</v>
      </c>
      <c r="N20" s="18"/>
      <c r="O20" s="6">
        <f>O19/COUNT(L:L)</f>
        <v>1</v>
      </c>
    </row>
    <row r="21" spans="2:15" ht="16.5" thickTop="1" thickBot="1">
      <c r="B21" s="28">
        <f t="shared" si="3"/>
        <v>18</v>
      </c>
      <c r="C21" s="15"/>
      <c r="D21" s="15"/>
      <c r="E21" s="47">
        <v>5</v>
      </c>
      <c r="F21" s="14">
        <v>5</v>
      </c>
      <c r="G21" s="33">
        <v>5</v>
      </c>
      <c r="H21" s="16">
        <v>5</v>
      </c>
      <c r="I21" s="17">
        <f t="shared" si="0"/>
        <v>20</v>
      </c>
      <c r="J21" s="2">
        <v>0</v>
      </c>
      <c r="K21" s="43">
        <v>0</v>
      </c>
      <c r="L21" s="14">
        <f t="shared" si="1"/>
        <v>4</v>
      </c>
      <c r="M21" s="50" t="str">
        <f t="shared" si="2"/>
        <v>غير كاف</v>
      </c>
      <c r="N21" s="18"/>
      <c r="O21" s="1"/>
    </row>
    <row r="22" spans="2:15" ht="17.25" thickTop="1" thickBot="1">
      <c r="B22" s="28">
        <f t="shared" si="3"/>
        <v>19</v>
      </c>
      <c r="C22" s="15"/>
      <c r="D22" s="15"/>
      <c r="E22" s="47">
        <v>5</v>
      </c>
      <c r="F22" s="14">
        <v>5</v>
      </c>
      <c r="G22" s="33">
        <v>5</v>
      </c>
      <c r="H22" s="16">
        <v>5</v>
      </c>
      <c r="I22" s="17">
        <f t="shared" si="0"/>
        <v>20</v>
      </c>
      <c r="J22" s="2">
        <v>0</v>
      </c>
      <c r="K22" s="43">
        <v>0</v>
      </c>
      <c r="L22" s="14">
        <f t="shared" si="1"/>
        <v>4</v>
      </c>
      <c r="M22" s="50" t="str">
        <f t="shared" si="2"/>
        <v>غير كاف</v>
      </c>
      <c r="N22" s="18"/>
      <c r="O22" s="7" t="s">
        <v>10</v>
      </c>
    </row>
    <row r="23" spans="2:15" ht="17.25" thickTop="1" thickBot="1">
      <c r="B23" s="28">
        <f t="shared" si="3"/>
        <v>20</v>
      </c>
      <c r="C23" s="15"/>
      <c r="D23" s="15"/>
      <c r="E23" s="47">
        <v>5</v>
      </c>
      <c r="F23" s="14">
        <v>5</v>
      </c>
      <c r="G23" s="33">
        <v>5</v>
      </c>
      <c r="H23" s="16">
        <v>5</v>
      </c>
      <c r="I23" s="17">
        <f t="shared" si="0"/>
        <v>20</v>
      </c>
      <c r="J23" s="2">
        <v>0</v>
      </c>
      <c r="K23" s="43">
        <v>0</v>
      </c>
      <c r="L23" s="14">
        <f t="shared" si="1"/>
        <v>4</v>
      </c>
      <c r="M23" s="50" t="str">
        <f t="shared" si="2"/>
        <v>غير كاف</v>
      </c>
      <c r="N23" s="18"/>
      <c r="O23" s="8">
        <f>COUNTIFS(L:L,"&lt;=20",L:L,"&gt;=10")</f>
        <v>0</v>
      </c>
    </row>
    <row r="24" spans="2:15" ht="17.25" thickTop="1" thickBot="1">
      <c r="B24" s="28">
        <f t="shared" si="3"/>
        <v>21</v>
      </c>
      <c r="C24" s="15"/>
      <c r="D24" s="15"/>
      <c r="E24" s="47">
        <v>5</v>
      </c>
      <c r="F24" s="14">
        <v>5</v>
      </c>
      <c r="G24" s="33">
        <v>5</v>
      </c>
      <c r="H24" s="16">
        <v>5</v>
      </c>
      <c r="I24" s="17">
        <f t="shared" si="0"/>
        <v>20</v>
      </c>
      <c r="J24" s="2">
        <v>0</v>
      </c>
      <c r="K24" s="43">
        <v>0</v>
      </c>
      <c r="L24" s="14">
        <f t="shared" si="1"/>
        <v>4</v>
      </c>
      <c r="M24" s="50" t="str">
        <f t="shared" si="2"/>
        <v>غير كاف</v>
      </c>
      <c r="N24" s="18"/>
      <c r="O24" s="9">
        <f>O23/COUNT(L:L)</f>
        <v>0</v>
      </c>
    </row>
    <row r="25" spans="2:15" ht="16.5" thickTop="1" thickBot="1">
      <c r="B25" s="28">
        <f t="shared" si="3"/>
        <v>22</v>
      </c>
      <c r="C25" s="15"/>
      <c r="D25" s="15"/>
      <c r="E25" s="47">
        <v>5</v>
      </c>
      <c r="F25" s="14">
        <v>5</v>
      </c>
      <c r="G25" s="33">
        <v>5</v>
      </c>
      <c r="H25" s="16">
        <v>5</v>
      </c>
      <c r="I25" s="17">
        <f t="shared" si="0"/>
        <v>20</v>
      </c>
      <c r="J25" s="2">
        <v>0</v>
      </c>
      <c r="K25" s="43">
        <v>0</v>
      </c>
      <c r="L25" s="14">
        <f t="shared" si="1"/>
        <v>4</v>
      </c>
      <c r="M25" s="50" t="str">
        <f t="shared" si="2"/>
        <v>غير كاف</v>
      </c>
      <c r="N25" s="18"/>
      <c r="O25" s="1"/>
    </row>
    <row r="26" spans="2:15" ht="16.5" thickTop="1" thickBot="1">
      <c r="B26" s="28">
        <f t="shared" si="3"/>
        <v>23</v>
      </c>
      <c r="C26" s="15"/>
      <c r="D26" s="15"/>
      <c r="E26" s="47">
        <v>5</v>
      </c>
      <c r="F26" s="14">
        <v>5</v>
      </c>
      <c r="G26" s="33">
        <v>5</v>
      </c>
      <c r="H26" s="16">
        <v>5</v>
      </c>
      <c r="I26" s="17">
        <f t="shared" si="0"/>
        <v>20</v>
      </c>
      <c r="J26" s="2">
        <v>0</v>
      </c>
      <c r="K26" s="43">
        <v>0</v>
      </c>
      <c r="L26" s="14">
        <f t="shared" si="1"/>
        <v>4</v>
      </c>
      <c r="M26" s="50" t="str">
        <f t="shared" si="2"/>
        <v>غير كاف</v>
      </c>
      <c r="N26" s="18"/>
      <c r="O26" s="1"/>
    </row>
    <row r="27" spans="2:15" ht="16.5" thickTop="1" thickBot="1">
      <c r="B27" s="28">
        <f t="shared" si="3"/>
        <v>24</v>
      </c>
      <c r="C27" s="15"/>
      <c r="D27" s="15"/>
      <c r="E27" s="47">
        <v>5</v>
      </c>
      <c r="F27" s="14">
        <v>5</v>
      </c>
      <c r="G27" s="33">
        <v>5</v>
      </c>
      <c r="H27" s="16">
        <v>5</v>
      </c>
      <c r="I27" s="17">
        <f t="shared" si="0"/>
        <v>20</v>
      </c>
      <c r="J27" s="2">
        <v>0</v>
      </c>
      <c r="K27" s="43">
        <v>0</v>
      </c>
      <c r="L27" s="14">
        <f t="shared" si="1"/>
        <v>4</v>
      </c>
      <c r="M27" s="50" t="str">
        <f t="shared" si="2"/>
        <v>غير كاف</v>
      </c>
      <c r="N27" s="18"/>
      <c r="O27" s="1"/>
    </row>
    <row r="28" spans="2:15" ht="16.5" thickTop="1" thickBot="1">
      <c r="B28" s="28">
        <f t="shared" si="3"/>
        <v>25</v>
      </c>
      <c r="C28" s="15"/>
      <c r="D28" s="15"/>
      <c r="E28" s="47">
        <v>5</v>
      </c>
      <c r="F28" s="14">
        <v>5</v>
      </c>
      <c r="G28" s="33">
        <v>5</v>
      </c>
      <c r="H28" s="16">
        <v>5</v>
      </c>
      <c r="I28" s="17">
        <f t="shared" si="0"/>
        <v>20</v>
      </c>
      <c r="J28" s="2">
        <v>0</v>
      </c>
      <c r="K28" s="43">
        <v>0</v>
      </c>
      <c r="L28" s="14">
        <f t="shared" si="1"/>
        <v>4</v>
      </c>
      <c r="M28" s="50" t="str">
        <f t="shared" si="2"/>
        <v>غير كاف</v>
      </c>
      <c r="N28" s="18"/>
    </row>
    <row r="29" spans="2:15" ht="16.5" thickTop="1" thickBot="1">
      <c r="B29" s="28">
        <f t="shared" si="3"/>
        <v>26</v>
      </c>
      <c r="C29" s="15"/>
      <c r="D29" s="15"/>
      <c r="E29" s="47">
        <v>5</v>
      </c>
      <c r="F29" s="14">
        <v>5</v>
      </c>
      <c r="G29" s="33">
        <v>5</v>
      </c>
      <c r="H29" s="16">
        <v>5</v>
      </c>
      <c r="I29" s="17">
        <f t="shared" si="0"/>
        <v>20</v>
      </c>
      <c r="J29" s="2">
        <v>0</v>
      </c>
      <c r="K29" s="43">
        <v>0</v>
      </c>
      <c r="L29" s="14">
        <f t="shared" si="1"/>
        <v>4</v>
      </c>
      <c r="M29" s="50" t="str">
        <f t="shared" si="2"/>
        <v>غير كاف</v>
      </c>
      <c r="N29" s="18"/>
    </row>
    <row r="30" spans="2:15" ht="16.5" thickTop="1" thickBot="1">
      <c r="B30" s="28">
        <f t="shared" si="3"/>
        <v>27</v>
      </c>
      <c r="C30" s="15"/>
      <c r="D30" s="15"/>
      <c r="E30" s="47">
        <v>5</v>
      </c>
      <c r="F30" s="14">
        <v>5</v>
      </c>
      <c r="G30" s="33">
        <v>5</v>
      </c>
      <c r="H30" s="16">
        <v>5</v>
      </c>
      <c r="I30" s="17">
        <f t="shared" si="0"/>
        <v>20</v>
      </c>
      <c r="J30" s="2">
        <v>0</v>
      </c>
      <c r="K30" s="43">
        <v>0</v>
      </c>
      <c r="L30" s="14">
        <f t="shared" si="1"/>
        <v>4</v>
      </c>
      <c r="M30" s="50" t="str">
        <f t="shared" si="2"/>
        <v>غير كاف</v>
      </c>
      <c r="N30" s="18"/>
    </row>
    <row r="31" spans="2:15" ht="16.5" thickTop="1" thickBot="1">
      <c r="B31" s="28">
        <f t="shared" si="3"/>
        <v>28</v>
      </c>
      <c r="C31" s="15"/>
      <c r="D31" s="15"/>
      <c r="E31" s="47">
        <v>5</v>
      </c>
      <c r="F31" s="14">
        <v>5</v>
      </c>
      <c r="G31" s="33">
        <v>5</v>
      </c>
      <c r="H31" s="16">
        <v>5</v>
      </c>
      <c r="I31" s="17">
        <f t="shared" si="0"/>
        <v>20</v>
      </c>
      <c r="J31" s="2">
        <v>0</v>
      </c>
      <c r="K31" s="43">
        <v>0</v>
      </c>
      <c r="L31" s="14">
        <f t="shared" si="1"/>
        <v>4</v>
      </c>
      <c r="M31" s="50" t="str">
        <f t="shared" si="2"/>
        <v>غير كاف</v>
      </c>
      <c r="N31" s="18"/>
    </row>
    <row r="32" spans="2:15" ht="16.5" thickTop="1" thickBot="1">
      <c r="B32" s="28">
        <f t="shared" si="3"/>
        <v>29</v>
      </c>
      <c r="C32" s="15"/>
      <c r="D32" s="15"/>
      <c r="E32" s="47">
        <v>5</v>
      </c>
      <c r="F32" s="14">
        <v>5</v>
      </c>
      <c r="G32" s="33">
        <v>5</v>
      </c>
      <c r="H32" s="16">
        <v>5</v>
      </c>
      <c r="I32" s="17">
        <f t="shared" si="0"/>
        <v>20</v>
      </c>
      <c r="J32" s="2">
        <v>0</v>
      </c>
      <c r="K32" s="43">
        <v>0</v>
      </c>
      <c r="L32" s="14">
        <f t="shared" si="1"/>
        <v>4</v>
      </c>
      <c r="M32" s="50" t="str">
        <f t="shared" si="2"/>
        <v>غير كاف</v>
      </c>
      <c r="N32" s="18"/>
    </row>
    <row r="33" spans="2:14" ht="16.5" thickTop="1" thickBot="1">
      <c r="B33" s="28">
        <f t="shared" si="3"/>
        <v>30</v>
      </c>
      <c r="C33" s="15"/>
      <c r="D33" s="15"/>
      <c r="E33" s="47">
        <v>5</v>
      </c>
      <c r="F33" s="14">
        <v>5</v>
      </c>
      <c r="G33" s="33">
        <v>5</v>
      </c>
      <c r="H33" s="16">
        <v>5</v>
      </c>
      <c r="I33" s="17">
        <f t="shared" si="0"/>
        <v>20</v>
      </c>
      <c r="J33" s="2">
        <v>0</v>
      </c>
      <c r="K33" s="43">
        <v>0</v>
      </c>
      <c r="L33" s="14">
        <f t="shared" si="1"/>
        <v>4</v>
      </c>
      <c r="M33" s="50" t="str">
        <f t="shared" si="2"/>
        <v>غير كاف</v>
      </c>
      <c r="N33" s="18"/>
    </row>
    <row r="34" spans="2:14" ht="16.5" thickTop="1" thickBot="1">
      <c r="B34" s="28">
        <f t="shared" si="3"/>
        <v>31</v>
      </c>
      <c r="C34" s="15"/>
      <c r="D34" s="15"/>
      <c r="E34" s="47">
        <v>5</v>
      </c>
      <c r="F34" s="14">
        <v>5</v>
      </c>
      <c r="G34" s="33">
        <v>5</v>
      </c>
      <c r="H34" s="16">
        <v>5</v>
      </c>
      <c r="I34" s="17">
        <f t="shared" si="0"/>
        <v>20</v>
      </c>
      <c r="J34" s="2">
        <v>0</v>
      </c>
      <c r="K34" s="43">
        <v>0</v>
      </c>
      <c r="L34" s="14">
        <f t="shared" si="1"/>
        <v>4</v>
      </c>
      <c r="M34" s="50" t="str">
        <f t="shared" si="2"/>
        <v>غير كاف</v>
      </c>
      <c r="N34" s="18"/>
    </row>
    <row r="35" spans="2:14" ht="16.5" thickTop="1" thickBot="1">
      <c r="B35" s="28">
        <f t="shared" si="3"/>
        <v>32</v>
      </c>
      <c r="C35" s="15"/>
      <c r="D35" s="15"/>
      <c r="E35" s="47">
        <v>5</v>
      </c>
      <c r="F35" s="14">
        <v>5</v>
      </c>
      <c r="G35" s="33">
        <v>5</v>
      </c>
      <c r="H35" s="16">
        <v>5</v>
      </c>
      <c r="I35" s="17">
        <f t="shared" si="0"/>
        <v>20</v>
      </c>
      <c r="J35" s="2">
        <v>0</v>
      </c>
      <c r="K35" s="43">
        <v>0</v>
      </c>
      <c r="L35" s="14">
        <f t="shared" si="1"/>
        <v>4</v>
      </c>
      <c r="M35" s="50" t="str">
        <f t="shared" si="2"/>
        <v>غير كاف</v>
      </c>
      <c r="N35" s="18"/>
    </row>
    <row r="36" spans="2:14" ht="16.5" thickTop="1" thickBot="1">
      <c r="B36" s="28">
        <f t="shared" si="3"/>
        <v>33</v>
      </c>
      <c r="C36" s="15"/>
      <c r="D36" s="15"/>
      <c r="E36" s="47">
        <v>5</v>
      </c>
      <c r="F36" s="14">
        <v>5</v>
      </c>
      <c r="G36" s="33">
        <v>5</v>
      </c>
      <c r="H36" s="16">
        <v>5</v>
      </c>
      <c r="I36" s="17">
        <f t="shared" si="0"/>
        <v>20</v>
      </c>
      <c r="J36" s="2">
        <v>0</v>
      </c>
      <c r="K36" s="43">
        <v>0</v>
      </c>
      <c r="L36" s="14">
        <f t="shared" si="1"/>
        <v>4</v>
      </c>
      <c r="M36" s="50" t="str">
        <f t="shared" si="2"/>
        <v>غير كاف</v>
      </c>
      <c r="N36" s="18"/>
    </row>
    <row r="37" spans="2:14" ht="16.5" thickTop="1" thickBot="1">
      <c r="B37" s="28">
        <f t="shared" si="3"/>
        <v>34</v>
      </c>
      <c r="C37" s="15"/>
      <c r="D37" s="15"/>
      <c r="E37" s="47">
        <v>5</v>
      </c>
      <c r="F37" s="14">
        <v>5</v>
      </c>
      <c r="G37" s="33">
        <v>5</v>
      </c>
      <c r="H37" s="16">
        <v>5</v>
      </c>
      <c r="I37" s="17">
        <f t="shared" si="0"/>
        <v>20</v>
      </c>
      <c r="J37" s="2">
        <v>0</v>
      </c>
      <c r="K37" s="43">
        <v>0</v>
      </c>
      <c r="L37" s="14">
        <f t="shared" si="1"/>
        <v>4</v>
      </c>
      <c r="M37" s="50" t="str">
        <f t="shared" si="2"/>
        <v>غير كاف</v>
      </c>
      <c r="N37" s="18"/>
    </row>
    <row r="38" spans="2:14" ht="16.5" thickTop="1" thickBot="1">
      <c r="B38" s="28">
        <f t="shared" si="3"/>
        <v>35</v>
      </c>
      <c r="C38" s="15"/>
      <c r="D38" s="15"/>
      <c r="E38" s="47">
        <v>5</v>
      </c>
      <c r="F38" s="14">
        <v>5</v>
      </c>
      <c r="G38" s="33">
        <v>5</v>
      </c>
      <c r="H38" s="16">
        <v>5</v>
      </c>
      <c r="I38" s="17">
        <f t="shared" si="0"/>
        <v>20</v>
      </c>
      <c r="J38" s="2">
        <v>0</v>
      </c>
      <c r="K38" s="43">
        <v>0</v>
      </c>
      <c r="L38" s="14">
        <f t="shared" si="1"/>
        <v>4</v>
      </c>
      <c r="M38" s="50" t="str">
        <f t="shared" si="2"/>
        <v>غير كاف</v>
      </c>
      <c r="N38" s="18"/>
    </row>
    <row r="39" spans="2:14" ht="16.5" thickTop="1" thickBot="1">
      <c r="B39" s="28">
        <f t="shared" si="3"/>
        <v>36</v>
      </c>
      <c r="C39" s="15"/>
      <c r="D39" s="15"/>
      <c r="E39" s="47">
        <v>5</v>
      </c>
      <c r="F39" s="14">
        <v>5</v>
      </c>
      <c r="G39" s="33">
        <v>5</v>
      </c>
      <c r="H39" s="16">
        <v>5</v>
      </c>
      <c r="I39" s="17">
        <f t="shared" si="0"/>
        <v>20</v>
      </c>
      <c r="J39" s="2">
        <v>0</v>
      </c>
      <c r="K39" s="43">
        <v>0</v>
      </c>
      <c r="L39" s="14">
        <f t="shared" si="1"/>
        <v>4</v>
      </c>
      <c r="M39" s="50" t="str">
        <f t="shared" si="2"/>
        <v>غير كاف</v>
      </c>
      <c r="N39" s="18"/>
    </row>
    <row r="40" spans="2:14" ht="16.5" thickTop="1" thickBot="1">
      <c r="B40" s="28">
        <f t="shared" si="3"/>
        <v>37</v>
      </c>
      <c r="C40" s="15"/>
      <c r="D40" s="15"/>
      <c r="E40" s="47">
        <v>5</v>
      </c>
      <c r="F40" s="14">
        <v>5</v>
      </c>
      <c r="G40" s="33">
        <v>5</v>
      </c>
      <c r="H40" s="16">
        <v>5</v>
      </c>
      <c r="I40" s="17">
        <f t="shared" si="0"/>
        <v>20</v>
      </c>
      <c r="J40" s="2">
        <v>0</v>
      </c>
      <c r="K40" s="43">
        <v>0</v>
      </c>
      <c r="L40" s="14">
        <f t="shared" si="1"/>
        <v>4</v>
      </c>
      <c r="M40" s="50" t="str">
        <f t="shared" si="2"/>
        <v>غير كاف</v>
      </c>
      <c r="N40" s="18"/>
    </row>
    <row r="41" spans="2:14" ht="16.5" thickTop="1" thickBot="1">
      <c r="B41" s="28">
        <f t="shared" si="3"/>
        <v>38</v>
      </c>
      <c r="C41" s="15"/>
      <c r="D41" s="15"/>
      <c r="E41" s="47">
        <v>5</v>
      </c>
      <c r="F41" s="14">
        <v>5</v>
      </c>
      <c r="G41" s="33">
        <v>5</v>
      </c>
      <c r="H41" s="16">
        <v>5</v>
      </c>
      <c r="I41" s="17">
        <f t="shared" si="0"/>
        <v>20</v>
      </c>
      <c r="J41" s="2">
        <v>0</v>
      </c>
      <c r="K41" s="43">
        <v>0</v>
      </c>
      <c r="L41" s="14">
        <f t="shared" si="1"/>
        <v>4</v>
      </c>
      <c r="M41" s="50" t="str">
        <f t="shared" si="2"/>
        <v>غير كاف</v>
      </c>
      <c r="N41" s="18"/>
    </row>
    <row r="42" spans="2:14" ht="15.75" thickTop="1">
      <c r="B42" s="28">
        <f t="shared" si="3"/>
        <v>39</v>
      </c>
      <c r="C42" s="68"/>
      <c r="D42" s="68"/>
      <c r="E42" s="47">
        <v>5</v>
      </c>
      <c r="F42" s="14">
        <v>5</v>
      </c>
      <c r="G42" s="33">
        <v>5</v>
      </c>
      <c r="H42" s="16">
        <v>5</v>
      </c>
      <c r="I42" s="17">
        <f t="shared" ref="I42" si="4">SUM(E42:H42)</f>
        <v>20</v>
      </c>
      <c r="J42" s="2">
        <v>0</v>
      </c>
      <c r="K42" s="43">
        <v>0</v>
      </c>
      <c r="L42" s="14">
        <f t="shared" ref="L42" si="5">(J42+I42+K42*3)/5</f>
        <v>4</v>
      </c>
      <c r="M42" s="50" t="str">
        <f t="shared" si="2"/>
        <v>غير كاف</v>
      </c>
      <c r="N42" s="18"/>
    </row>
    <row r="43" spans="2:14">
      <c r="B43" s="1"/>
      <c r="N43" s="69"/>
    </row>
    <row r="44" spans="2:14">
      <c r="E44" s="10"/>
      <c r="F44" s="10"/>
      <c r="G44" s="10"/>
      <c r="H44" s="10"/>
      <c r="I44" s="11"/>
      <c r="J44" s="12"/>
      <c r="K44" s="10"/>
      <c r="L44" s="10"/>
      <c r="M44" s="13"/>
      <c r="N44" s="13"/>
    </row>
  </sheetData>
  <pageMargins left="0.25" right="0.25" top="0.75" bottom="0.75" header="0.3" footer="0.3"/>
  <pageSetup paperSize="9" scale="7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4"/>
  <sheetViews>
    <sheetView rightToLeft="1" tabSelected="1" topLeftCell="A25" zoomScaleNormal="100" workbookViewId="0">
      <selection activeCell="R32" sqref="R32"/>
    </sheetView>
  </sheetViews>
  <sheetFormatPr baseColWidth="10" defaultColWidth="9.140625" defaultRowHeight="15"/>
  <cols>
    <col min="2" max="2" width="4.7109375" customWidth="1"/>
    <col min="3" max="3" width="9.140625" customWidth="1"/>
    <col min="4" max="4" width="12.28515625" customWidth="1"/>
    <col min="5" max="5" width="7.28515625" customWidth="1"/>
    <col min="6" max="6" width="7.140625" customWidth="1"/>
    <col min="7" max="7" width="7.42578125" customWidth="1"/>
    <col min="8" max="8" width="7.5703125" customWidth="1"/>
    <col min="9" max="9" width="7.42578125" customWidth="1"/>
    <col min="10" max="10" width="5.85546875" customWidth="1"/>
    <col min="11" max="11" width="6.42578125" customWidth="1"/>
    <col min="12" max="12" width="6.85546875" customWidth="1"/>
    <col min="13" max="14" width="10.42578125" customWidth="1"/>
    <col min="15" max="15" width="9.7109375" customWidth="1"/>
  </cols>
  <sheetData>
    <row r="2" spans="2:16" ht="63.75" customHeight="1" thickBot="1">
      <c r="C2" s="48" t="s">
        <v>20</v>
      </c>
      <c r="N2" s="51"/>
    </row>
    <row r="3" spans="2:16" ht="31.5" thickTop="1" thickBot="1">
      <c r="B3" s="29" t="s">
        <v>11</v>
      </c>
      <c r="C3" s="31" t="s">
        <v>0</v>
      </c>
      <c r="D3" s="32" t="s">
        <v>1</v>
      </c>
      <c r="E3" s="37" t="s">
        <v>13</v>
      </c>
      <c r="F3" s="38" t="s">
        <v>14</v>
      </c>
      <c r="G3" s="39" t="s">
        <v>16</v>
      </c>
      <c r="H3" s="40" t="s">
        <v>15</v>
      </c>
      <c r="I3" s="52" t="s">
        <v>12</v>
      </c>
      <c r="J3" s="53" t="s">
        <v>2</v>
      </c>
      <c r="K3" s="54" t="s">
        <v>3</v>
      </c>
      <c r="L3" s="49" t="s">
        <v>4</v>
      </c>
      <c r="M3" s="55" t="s">
        <v>5</v>
      </c>
      <c r="N3" s="56" t="s">
        <v>18</v>
      </c>
      <c r="O3" s="1"/>
    </row>
    <row r="4" spans="2:16" ht="16.5" thickTop="1" thickBot="1">
      <c r="B4" s="30">
        <v>1</v>
      </c>
      <c r="C4" s="15"/>
      <c r="D4" s="15"/>
      <c r="E4" s="44">
        <v>5</v>
      </c>
      <c r="F4" s="46">
        <v>5</v>
      </c>
      <c r="G4" s="34">
        <v>5</v>
      </c>
      <c r="H4" s="45">
        <v>5</v>
      </c>
      <c r="I4" s="35">
        <f t="shared" ref="I4:I42" si="0">SUM(E4:H4)</f>
        <v>20</v>
      </c>
      <c r="J4" s="36">
        <v>0</v>
      </c>
      <c r="K4" s="42">
        <v>0</v>
      </c>
      <c r="L4" s="41">
        <f>(J4+I4+K4*3)/5</f>
        <v>4</v>
      </c>
      <c r="M4" s="50" t="str">
        <f>IF(L4&gt;=17, "عمل ممتاز",
 IF(L4&gt;=16, "جيد جدا",
IF(L4&gt;=14, "نتائج جيدة",
IF(L4&gt;=12, "نتائج حسنة",
IF(L4&gt;=10, "نتائج متوسطة",
IF(L4&gt;=9, "دون المتوسط",
IF(L4&gt;=0, "غير كاف" )))))))</f>
        <v>غير كاف</v>
      </c>
      <c r="N4" s="57"/>
      <c r="O4" s="20" t="s">
        <v>6</v>
      </c>
      <c r="P4" s="19"/>
    </row>
    <row r="5" spans="2:16" ht="16.5" thickTop="1" thickBot="1">
      <c r="B5" s="28">
        <f>B4+1</f>
        <v>2</v>
      </c>
      <c r="C5" s="15"/>
      <c r="D5" s="15"/>
      <c r="E5" s="47">
        <v>5</v>
      </c>
      <c r="F5" s="14">
        <v>5</v>
      </c>
      <c r="G5" s="33">
        <v>5</v>
      </c>
      <c r="H5" s="16">
        <v>5</v>
      </c>
      <c r="I5" s="17">
        <f t="shared" si="0"/>
        <v>20</v>
      </c>
      <c r="J5" s="2">
        <v>0</v>
      </c>
      <c r="K5" s="43">
        <v>0</v>
      </c>
      <c r="L5" s="14">
        <f t="shared" ref="L5:L42" si="1">(J5+I5+K5*3)/5</f>
        <v>4</v>
      </c>
      <c r="M5" s="50" t="str">
        <f t="shared" ref="M5:M42" si="2">IF(L5&gt;=17, "عمل ممتاز",
 IF(L5&gt;=16, "جيد جدا",
IF(L5&gt;=14, "نتائج جيدة",
IF(L5&gt;=12, "نتائج حسنة",
IF(L5&gt;=10, "نتائج متوسطة",
IF(L5&gt;=9, "دون المتوسط",
IF(L5&gt;=0, "غير كاف" )))))))</f>
        <v>غير كاف</v>
      </c>
      <c r="N5" s="18"/>
      <c r="O5" s="21">
        <f>MAX(L:L)</f>
        <v>4</v>
      </c>
      <c r="P5" s="19"/>
    </row>
    <row r="6" spans="2:16" ht="16.5" thickTop="1" thickBot="1">
      <c r="B6" s="28">
        <f t="shared" ref="B6:B42" si="3">B5+1</f>
        <v>3</v>
      </c>
      <c r="C6" s="15"/>
      <c r="D6" s="15"/>
      <c r="E6" s="47">
        <v>5</v>
      </c>
      <c r="F6" s="14">
        <v>5</v>
      </c>
      <c r="G6" s="33">
        <v>5</v>
      </c>
      <c r="H6" s="16">
        <v>5</v>
      </c>
      <c r="I6" s="17">
        <f t="shared" si="0"/>
        <v>20</v>
      </c>
      <c r="J6" s="2">
        <v>0</v>
      </c>
      <c r="K6" s="43">
        <v>0</v>
      </c>
      <c r="L6" s="14">
        <f t="shared" si="1"/>
        <v>4</v>
      </c>
      <c r="M6" s="50" t="str">
        <f t="shared" si="2"/>
        <v>غير كاف</v>
      </c>
      <c r="N6" s="18"/>
      <c r="O6" s="3"/>
    </row>
    <row r="7" spans="2:16" ht="16.5" thickTop="1" thickBot="1">
      <c r="B7" s="28">
        <f t="shared" si="3"/>
        <v>4</v>
      </c>
      <c r="C7" s="15"/>
      <c r="D7" s="15"/>
      <c r="E7" s="47">
        <v>5</v>
      </c>
      <c r="F7" s="14">
        <v>5</v>
      </c>
      <c r="G7" s="33">
        <v>5</v>
      </c>
      <c r="H7" s="16">
        <v>5</v>
      </c>
      <c r="I7" s="17">
        <f t="shared" si="0"/>
        <v>20</v>
      </c>
      <c r="J7" s="2">
        <v>0</v>
      </c>
      <c r="K7" s="43">
        <v>0</v>
      </c>
      <c r="L7" s="14">
        <f t="shared" si="1"/>
        <v>4</v>
      </c>
      <c r="M7" s="50" t="str">
        <f t="shared" si="2"/>
        <v>غير كاف</v>
      </c>
      <c r="N7" s="18"/>
      <c r="O7" s="22" t="s">
        <v>7</v>
      </c>
    </row>
    <row r="8" spans="2:16" ht="16.5" thickTop="1" thickBot="1">
      <c r="B8" s="28">
        <f t="shared" si="3"/>
        <v>5</v>
      </c>
      <c r="C8" s="15"/>
      <c r="D8" s="15"/>
      <c r="E8" s="47">
        <v>5</v>
      </c>
      <c r="F8" s="14">
        <v>5</v>
      </c>
      <c r="G8" s="33">
        <v>5</v>
      </c>
      <c r="H8" s="16">
        <v>5</v>
      </c>
      <c r="I8" s="17">
        <f t="shared" si="0"/>
        <v>20</v>
      </c>
      <c r="J8" s="2">
        <v>0</v>
      </c>
      <c r="K8" s="43">
        <v>0</v>
      </c>
      <c r="L8" s="14">
        <f t="shared" si="1"/>
        <v>4</v>
      </c>
      <c r="M8" s="50" t="str">
        <f t="shared" si="2"/>
        <v>غير كاف</v>
      </c>
      <c r="N8" s="18"/>
      <c r="O8" s="23">
        <f>MIN(L:L)</f>
        <v>4</v>
      </c>
      <c r="P8" s="19"/>
    </row>
    <row r="9" spans="2:16" ht="16.5" thickTop="1" thickBot="1">
      <c r="B9" s="28">
        <f t="shared" si="3"/>
        <v>6</v>
      </c>
      <c r="C9" s="15"/>
      <c r="D9" s="15"/>
      <c r="E9" s="47">
        <v>5</v>
      </c>
      <c r="F9" s="14">
        <v>5</v>
      </c>
      <c r="G9" s="33">
        <v>5</v>
      </c>
      <c r="H9" s="16">
        <v>5</v>
      </c>
      <c r="I9" s="17">
        <f t="shared" si="0"/>
        <v>20</v>
      </c>
      <c r="J9" s="2">
        <v>0</v>
      </c>
      <c r="K9" s="43">
        <v>0</v>
      </c>
      <c r="L9" s="14">
        <f t="shared" si="1"/>
        <v>4</v>
      </c>
      <c r="M9" s="50" t="str">
        <f t="shared" si="2"/>
        <v>غير كاف</v>
      </c>
      <c r="N9" s="18"/>
      <c r="O9" s="24"/>
    </row>
    <row r="10" spans="2:16" ht="16.5" thickTop="1" thickBot="1">
      <c r="B10" s="28">
        <f t="shared" si="3"/>
        <v>7</v>
      </c>
      <c r="C10" s="15"/>
      <c r="D10" s="15"/>
      <c r="E10" s="47">
        <v>5</v>
      </c>
      <c r="F10" s="14">
        <v>5</v>
      </c>
      <c r="G10" s="33">
        <v>5</v>
      </c>
      <c r="H10" s="16">
        <v>5</v>
      </c>
      <c r="I10" s="17">
        <f t="shared" si="0"/>
        <v>20</v>
      </c>
      <c r="J10" s="2">
        <v>0</v>
      </c>
      <c r="K10" s="43">
        <v>0</v>
      </c>
      <c r="L10" s="14">
        <f t="shared" si="1"/>
        <v>4</v>
      </c>
      <c r="M10" s="50" t="str">
        <f t="shared" si="2"/>
        <v>غير كاف</v>
      </c>
      <c r="N10" s="18"/>
      <c r="O10" s="4"/>
    </row>
    <row r="11" spans="2:16" ht="16.5" thickTop="1" thickBot="1">
      <c r="B11" s="28">
        <f t="shared" si="3"/>
        <v>8</v>
      </c>
      <c r="C11" s="15"/>
      <c r="D11" s="15"/>
      <c r="E11" s="47">
        <v>5</v>
      </c>
      <c r="F11" s="14">
        <v>5</v>
      </c>
      <c r="G11" s="33">
        <v>5</v>
      </c>
      <c r="H11" s="16">
        <v>5</v>
      </c>
      <c r="I11" s="17">
        <f t="shared" si="0"/>
        <v>20</v>
      </c>
      <c r="J11" s="2">
        <v>0</v>
      </c>
      <c r="K11" s="43">
        <v>0</v>
      </c>
      <c r="L11" s="14">
        <f t="shared" si="1"/>
        <v>4</v>
      </c>
      <c r="M11" s="50" t="str">
        <f t="shared" si="2"/>
        <v>غير كاف</v>
      </c>
      <c r="N11" s="18"/>
      <c r="O11" s="25" t="s">
        <v>8</v>
      </c>
    </row>
    <row r="12" spans="2:16" ht="16.5" thickTop="1" thickBot="1">
      <c r="B12" s="28">
        <f t="shared" si="3"/>
        <v>9</v>
      </c>
      <c r="C12" s="15"/>
      <c r="D12" s="15"/>
      <c r="E12" s="47">
        <v>5</v>
      </c>
      <c r="F12" s="14">
        <v>5</v>
      </c>
      <c r="G12" s="33">
        <v>5</v>
      </c>
      <c r="H12" s="16">
        <v>5</v>
      </c>
      <c r="I12" s="17">
        <f t="shared" si="0"/>
        <v>20</v>
      </c>
      <c r="J12" s="2">
        <v>0</v>
      </c>
      <c r="K12" s="43">
        <v>0</v>
      </c>
      <c r="L12" s="14">
        <f t="shared" si="1"/>
        <v>4</v>
      </c>
      <c r="M12" s="50" t="str">
        <f t="shared" si="2"/>
        <v>غير كاف</v>
      </c>
      <c r="N12" s="18"/>
      <c r="O12" s="26">
        <f>AVERAGE(L:L)</f>
        <v>4</v>
      </c>
    </row>
    <row r="13" spans="2:16" ht="16.5" thickTop="1" thickBot="1">
      <c r="B13" s="28">
        <f t="shared" si="3"/>
        <v>10</v>
      </c>
      <c r="C13" s="15"/>
      <c r="D13" s="15"/>
      <c r="E13" s="47">
        <v>5</v>
      </c>
      <c r="F13" s="14">
        <v>5</v>
      </c>
      <c r="G13" s="33">
        <v>5</v>
      </c>
      <c r="H13" s="16">
        <v>5</v>
      </c>
      <c r="I13" s="17">
        <f t="shared" si="0"/>
        <v>20</v>
      </c>
      <c r="J13" s="2">
        <v>0</v>
      </c>
      <c r="K13" s="43">
        <v>0</v>
      </c>
      <c r="L13" s="14">
        <f t="shared" si="1"/>
        <v>4</v>
      </c>
      <c r="M13" s="50" t="str">
        <f t="shared" si="2"/>
        <v>غير كاف</v>
      </c>
      <c r="N13" s="18"/>
      <c r="O13" s="27"/>
    </row>
    <row r="14" spans="2:16" ht="16.5" thickTop="1" thickBot="1">
      <c r="B14" s="28">
        <f t="shared" si="3"/>
        <v>11</v>
      </c>
      <c r="C14" s="15"/>
      <c r="D14" s="15"/>
      <c r="E14" s="47">
        <v>5</v>
      </c>
      <c r="F14" s="14">
        <v>5</v>
      </c>
      <c r="G14" s="33">
        <v>5</v>
      </c>
      <c r="H14" s="16">
        <v>5</v>
      </c>
      <c r="I14" s="17">
        <f t="shared" si="0"/>
        <v>20</v>
      </c>
      <c r="J14" s="2">
        <v>0</v>
      </c>
      <c r="K14" s="43">
        <v>0</v>
      </c>
      <c r="L14" s="14">
        <f t="shared" si="1"/>
        <v>4</v>
      </c>
      <c r="M14" s="50" t="str">
        <f t="shared" si="2"/>
        <v>غير كاف</v>
      </c>
      <c r="N14" s="18"/>
      <c r="O14" s="1"/>
    </row>
    <row r="15" spans="2:16" ht="16.5" thickTop="1" thickBot="1">
      <c r="B15" s="28">
        <f t="shared" si="3"/>
        <v>12</v>
      </c>
      <c r="C15" s="15"/>
      <c r="D15" s="15"/>
      <c r="E15" s="47">
        <v>5</v>
      </c>
      <c r="F15" s="14">
        <v>5</v>
      </c>
      <c r="G15" s="33">
        <v>5</v>
      </c>
      <c r="H15" s="16">
        <v>5</v>
      </c>
      <c r="I15" s="17">
        <f t="shared" si="0"/>
        <v>20</v>
      </c>
      <c r="J15" s="2">
        <v>0</v>
      </c>
      <c r="K15" s="43">
        <v>0</v>
      </c>
      <c r="L15" s="14">
        <f t="shared" si="1"/>
        <v>4</v>
      </c>
      <c r="M15" s="50" t="str">
        <f t="shared" si="2"/>
        <v>غير كاف</v>
      </c>
      <c r="N15" s="18"/>
      <c r="O15" s="1"/>
    </row>
    <row r="16" spans="2:16" ht="16.5" thickTop="1" thickBot="1">
      <c r="B16" s="28">
        <f t="shared" si="3"/>
        <v>13</v>
      </c>
      <c r="C16" s="15"/>
      <c r="D16" s="15"/>
      <c r="E16" s="47">
        <v>5</v>
      </c>
      <c r="F16" s="14">
        <v>5</v>
      </c>
      <c r="G16" s="33">
        <v>5</v>
      </c>
      <c r="H16" s="16">
        <v>5</v>
      </c>
      <c r="I16" s="17">
        <f t="shared" si="0"/>
        <v>20</v>
      </c>
      <c r="J16" s="2">
        <v>0</v>
      </c>
      <c r="K16" s="43">
        <v>0</v>
      </c>
      <c r="L16" s="14">
        <f t="shared" si="1"/>
        <v>4</v>
      </c>
      <c r="M16" s="50" t="str">
        <f t="shared" si="2"/>
        <v>غير كاف</v>
      </c>
      <c r="N16" s="18"/>
      <c r="O16" s="1"/>
    </row>
    <row r="17" spans="2:15" ht="16.5" thickTop="1" thickBot="1">
      <c r="B17" s="28">
        <f t="shared" si="3"/>
        <v>14</v>
      </c>
      <c r="C17" s="15"/>
      <c r="D17" s="15"/>
      <c r="E17" s="47">
        <v>5</v>
      </c>
      <c r="F17" s="14">
        <v>5</v>
      </c>
      <c r="G17" s="33">
        <v>5</v>
      </c>
      <c r="H17" s="16">
        <v>5</v>
      </c>
      <c r="I17" s="17">
        <f t="shared" si="0"/>
        <v>20</v>
      </c>
      <c r="J17" s="2">
        <v>0</v>
      </c>
      <c r="K17" s="43">
        <v>0</v>
      </c>
      <c r="L17" s="14">
        <f t="shared" si="1"/>
        <v>4</v>
      </c>
      <c r="M17" s="50" t="str">
        <f t="shared" si="2"/>
        <v>غير كاف</v>
      </c>
      <c r="N17" s="18"/>
      <c r="O17" s="1"/>
    </row>
    <row r="18" spans="2:15" ht="17.25" thickTop="1" thickBot="1">
      <c r="B18" s="28">
        <f t="shared" si="3"/>
        <v>15</v>
      </c>
      <c r="C18" s="15"/>
      <c r="D18" s="15"/>
      <c r="E18" s="47">
        <v>5</v>
      </c>
      <c r="F18" s="14">
        <v>5</v>
      </c>
      <c r="G18" s="33">
        <v>5</v>
      </c>
      <c r="H18" s="16">
        <v>5</v>
      </c>
      <c r="I18" s="17">
        <f t="shared" si="0"/>
        <v>20</v>
      </c>
      <c r="J18" s="2">
        <v>0</v>
      </c>
      <c r="K18" s="43">
        <v>0</v>
      </c>
      <c r="L18" s="14">
        <f t="shared" si="1"/>
        <v>4</v>
      </c>
      <c r="M18" s="50" t="str">
        <f t="shared" si="2"/>
        <v>غير كاف</v>
      </c>
      <c r="N18" s="18"/>
      <c r="O18" s="5" t="s">
        <v>9</v>
      </c>
    </row>
    <row r="19" spans="2:15" ht="17.25" thickTop="1" thickBot="1">
      <c r="B19" s="28">
        <f t="shared" si="3"/>
        <v>16</v>
      </c>
      <c r="C19" s="15"/>
      <c r="D19" s="15"/>
      <c r="E19" s="47">
        <v>5</v>
      </c>
      <c r="F19" s="14">
        <v>5</v>
      </c>
      <c r="G19" s="33">
        <v>5</v>
      </c>
      <c r="H19" s="16">
        <v>5</v>
      </c>
      <c r="I19" s="17">
        <f t="shared" si="0"/>
        <v>20</v>
      </c>
      <c r="J19" s="2">
        <v>0</v>
      </c>
      <c r="K19" s="43">
        <v>0</v>
      </c>
      <c r="L19" s="14">
        <f t="shared" si="1"/>
        <v>4</v>
      </c>
      <c r="M19" s="50" t="str">
        <f t="shared" si="2"/>
        <v>غير كاف</v>
      </c>
      <c r="N19" s="18"/>
      <c r="O19" s="5">
        <f>COUNTIFS(L:L,"&lt;10",L:L,"&gt;=0")</f>
        <v>39</v>
      </c>
    </row>
    <row r="20" spans="2:15" ht="17.25" thickTop="1" thickBot="1">
      <c r="B20" s="28">
        <f t="shared" si="3"/>
        <v>17</v>
      </c>
      <c r="C20" s="15"/>
      <c r="D20" s="15"/>
      <c r="E20" s="47">
        <v>5</v>
      </c>
      <c r="F20" s="14">
        <v>5</v>
      </c>
      <c r="G20" s="33">
        <v>5</v>
      </c>
      <c r="H20" s="16">
        <v>5</v>
      </c>
      <c r="I20" s="17">
        <f t="shared" si="0"/>
        <v>20</v>
      </c>
      <c r="J20" s="2">
        <v>0</v>
      </c>
      <c r="K20" s="43">
        <v>0</v>
      </c>
      <c r="L20" s="14">
        <f t="shared" si="1"/>
        <v>4</v>
      </c>
      <c r="M20" s="50" t="str">
        <f t="shared" si="2"/>
        <v>غير كاف</v>
      </c>
      <c r="N20" s="18"/>
      <c r="O20" s="6">
        <f>O19/COUNT(L:L)</f>
        <v>1</v>
      </c>
    </row>
    <row r="21" spans="2:15" ht="16.5" thickTop="1" thickBot="1">
      <c r="B21" s="28">
        <f t="shared" si="3"/>
        <v>18</v>
      </c>
      <c r="C21" s="15"/>
      <c r="D21" s="15"/>
      <c r="E21" s="47">
        <v>5</v>
      </c>
      <c r="F21" s="14">
        <v>5</v>
      </c>
      <c r="G21" s="33">
        <v>5</v>
      </c>
      <c r="H21" s="16">
        <v>5</v>
      </c>
      <c r="I21" s="17">
        <f t="shared" si="0"/>
        <v>20</v>
      </c>
      <c r="J21" s="2">
        <v>0</v>
      </c>
      <c r="K21" s="43">
        <v>0</v>
      </c>
      <c r="L21" s="14">
        <f t="shared" si="1"/>
        <v>4</v>
      </c>
      <c r="M21" s="50" t="str">
        <f t="shared" si="2"/>
        <v>غير كاف</v>
      </c>
      <c r="N21" s="18"/>
      <c r="O21" s="1"/>
    </row>
    <row r="22" spans="2:15" ht="17.25" thickTop="1" thickBot="1">
      <c r="B22" s="28">
        <f t="shared" si="3"/>
        <v>19</v>
      </c>
      <c r="C22" s="15"/>
      <c r="D22" s="15"/>
      <c r="E22" s="47">
        <v>5</v>
      </c>
      <c r="F22" s="14">
        <v>5</v>
      </c>
      <c r="G22" s="33">
        <v>5</v>
      </c>
      <c r="H22" s="16">
        <v>5</v>
      </c>
      <c r="I22" s="17">
        <f t="shared" si="0"/>
        <v>20</v>
      </c>
      <c r="J22" s="2">
        <v>0</v>
      </c>
      <c r="K22" s="43">
        <v>0</v>
      </c>
      <c r="L22" s="14">
        <f t="shared" si="1"/>
        <v>4</v>
      </c>
      <c r="M22" s="50" t="str">
        <f t="shared" si="2"/>
        <v>غير كاف</v>
      </c>
      <c r="N22" s="18"/>
      <c r="O22" s="7" t="s">
        <v>10</v>
      </c>
    </row>
    <row r="23" spans="2:15" ht="17.25" thickTop="1" thickBot="1">
      <c r="B23" s="28">
        <f t="shared" si="3"/>
        <v>20</v>
      </c>
      <c r="C23" s="15"/>
      <c r="D23" s="15"/>
      <c r="E23" s="47">
        <v>5</v>
      </c>
      <c r="F23" s="14">
        <v>5</v>
      </c>
      <c r="G23" s="33">
        <v>5</v>
      </c>
      <c r="H23" s="16">
        <v>5</v>
      </c>
      <c r="I23" s="17">
        <f t="shared" si="0"/>
        <v>20</v>
      </c>
      <c r="J23" s="2">
        <v>0</v>
      </c>
      <c r="K23" s="43">
        <v>0</v>
      </c>
      <c r="L23" s="14">
        <f t="shared" si="1"/>
        <v>4</v>
      </c>
      <c r="M23" s="50" t="str">
        <f t="shared" si="2"/>
        <v>غير كاف</v>
      </c>
      <c r="N23" s="18"/>
      <c r="O23" s="8">
        <f>COUNTIFS(L:L,"&lt;=20",L:L,"&gt;=10")</f>
        <v>0</v>
      </c>
    </row>
    <row r="24" spans="2:15" ht="17.25" thickTop="1" thickBot="1">
      <c r="B24" s="28">
        <f t="shared" si="3"/>
        <v>21</v>
      </c>
      <c r="C24" s="15"/>
      <c r="D24" s="15"/>
      <c r="E24" s="47">
        <v>5</v>
      </c>
      <c r="F24" s="14">
        <v>5</v>
      </c>
      <c r="G24" s="33">
        <v>5</v>
      </c>
      <c r="H24" s="16">
        <v>5</v>
      </c>
      <c r="I24" s="17">
        <f t="shared" si="0"/>
        <v>20</v>
      </c>
      <c r="J24" s="2">
        <v>0</v>
      </c>
      <c r="K24" s="43">
        <v>0</v>
      </c>
      <c r="L24" s="14">
        <f t="shared" si="1"/>
        <v>4</v>
      </c>
      <c r="M24" s="50" t="str">
        <f t="shared" si="2"/>
        <v>غير كاف</v>
      </c>
      <c r="N24" s="18"/>
      <c r="O24" s="9">
        <f>O23/COUNT(L:L)</f>
        <v>0</v>
      </c>
    </row>
    <row r="25" spans="2:15" ht="16.5" thickTop="1" thickBot="1">
      <c r="B25" s="28">
        <f t="shared" si="3"/>
        <v>22</v>
      </c>
      <c r="C25" s="15"/>
      <c r="D25" s="15"/>
      <c r="E25" s="47">
        <v>5</v>
      </c>
      <c r="F25" s="14">
        <v>5</v>
      </c>
      <c r="G25" s="33">
        <v>5</v>
      </c>
      <c r="H25" s="16">
        <v>5</v>
      </c>
      <c r="I25" s="17">
        <f t="shared" si="0"/>
        <v>20</v>
      </c>
      <c r="J25" s="2">
        <v>0</v>
      </c>
      <c r="K25" s="43">
        <v>0</v>
      </c>
      <c r="L25" s="14">
        <f t="shared" si="1"/>
        <v>4</v>
      </c>
      <c r="M25" s="50" t="str">
        <f t="shared" si="2"/>
        <v>غير كاف</v>
      </c>
      <c r="N25" s="18"/>
      <c r="O25" s="1"/>
    </row>
    <row r="26" spans="2:15" ht="16.5" thickTop="1" thickBot="1">
      <c r="B26" s="28">
        <f t="shared" si="3"/>
        <v>23</v>
      </c>
      <c r="C26" s="15"/>
      <c r="D26" s="15"/>
      <c r="E26" s="47">
        <v>5</v>
      </c>
      <c r="F26" s="14">
        <v>5</v>
      </c>
      <c r="G26" s="33">
        <v>5</v>
      </c>
      <c r="H26" s="16">
        <v>5</v>
      </c>
      <c r="I26" s="17">
        <f t="shared" si="0"/>
        <v>20</v>
      </c>
      <c r="J26" s="2">
        <v>0</v>
      </c>
      <c r="K26" s="43">
        <v>0</v>
      </c>
      <c r="L26" s="14">
        <f t="shared" si="1"/>
        <v>4</v>
      </c>
      <c r="M26" s="50" t="str">
        <f t="shared" si="2"/>
        <v>غير كاف</v>
      </c>
      <c r="N26" s="18"/>
      <c r="O26" s="1"/>
    </row>
    <row r="27" spans="2:15" ht="16.5" thickTop="1" thickBot="1">
      <c r="B27" s="28">
        <f t="shared" si="3"/>
        <v>24</v>
      </c>
      <c r="C27" s="15"/>
      <c r="D27" s="15"/>
      <c r="E27" s="47">
        <v>5</v>
      </c>
      <c r="F27" s="14">
        <v>5</v>
      </c>
      <c r="G27" s="33">
        <v>5</v>
      </c>
      <c r="H27" s="16">
        <v>5</v>
      </c>
      <c r="I27" s="17">
        <f t="shared" si="0"/>
        <v>20</v>
      </c>
      <c r="J27" s="2">
        <v>0</v>
      </c>
      <c r="K27" s="43">
        <v>0</v>
      </c>
      <c r="L27" s="14">
        <f t="shared" si="1"/>
        <v>4</v>
      </c>
      <c r="M27" s="50" t="str">
        <f t="shared" si="2"/>
        <v>غير كاف</v>
      </c>
      <c r="N27" s="18"/>
      <c r="O27" s="1"/>
    </row>
    <row r="28" spans="2:15" ht="16.5" thickTop="1" thickBot="1">
      <c r="B28" s="28">
        <f t="shared" si="3"/>
        <v>25</v>
      </c>
      <c r="C28" s="15"/>
      <c r="D28" s="15"/>
      <c r="E28" s="47">
        <v>5</v>
      </c>
      <c r="F28" s="14">
        <v>5</v>
      </c>
      <c r="G28" s="33">
        <v>5</v>
      </c>
      <c r="H28" s="16">
        <v>5</v>
      </c>
      <c r="I28" s="17">
        <f t="shared" si="0"/>
        <v>20</v>
      </c>
      <c r="J28" s="2">
        <v>0</v>
      </c>
      <c r="K28" s="43">
        <v>0</v>
      </c>
      <c r="L28" s="14">
        <f t="shared" si="1"/>
        <v>4</v>
      </c>
      <c r="M28" s="50" t="str">
        <f t="shared" si="2"/>
        <v>غير كاف</v>
      </c>
      <c r="N28" s="18"/>
    </row>
    <row r="29" spans="2:15" ht="16.5" thickTop="1" thickBot="1">
      <c r="B29" s="28">
        <f t="shared" si="3"/>
        <v>26</v>
      </c>
      <c r="C29" s="15"/>
      <c r="D29" s="15"/>
      <c r="E29" s="47">
        <v>5</v>
      </c>
      <c r="F29" s="14">
        <v>5</v>
      </c>
      <c r="G29" s="33">
        <v>5</v>
      </c>
      <c r="H29" s="16">
        <v>5</v>
      </c>
      <c r="I29" s="17">
        <f t="shared" si="0"/>
        <v>20</v>
      </c>
      <c r="J29" s="2">
        <v>0</v>
      </c>
      <c r="K29" s="43">
        <v>0</v>
      </c>
      <c r="L29" s="14">
        <f t="shared" si="1"/>
        <v>4</v>
      </c>
      <c r="M29" s="50" t="str">
        <f t="shared" si="2"/>
        <v>غير كاف</v>
      </c>
      <c r="N29" s="18"/>
    </row>
    <row r="30" spans="2:15" ht="16.5" thickTop="1" thickBot="1">
      <c r="B30" s="28">
        <f t="shared" si="3"/>
        <v>27</v>
      </c>
      <c r="C30" s="15"/>
      <c r="D30" s="15"/>
      <c r="E30" s="47">
        <v>5</v>
      </c>
      <c r="F30" s="14">
        <v>5</v>
      </c>
      <c r="G30" s="33">
        <v>5</v>
      </c>
      <c r="H30" s="16">
        <v>5</v>
      </c>
      <c r="I30" s="17">
        <f t="shared" si="0"/>
        <v>20</v>
      </c>
      <c r="J30" s="2">
        <v>0</v>
      </c>
      <c r="K30" s="43">
        <v>0</v>
      </c>
      <c r="L30" s="14">
        <f t="shared" si="1"/>
        <v>4</v>
      </c>
      <c r="M30" s="50" t="str">
        <f t="shared" si="2"/>
        <v>غير كاف</v>
      </c>
      <c r="N30" s="18"/>
    </row>
    <row r="31" spans="2:15" ht="16.5" thickTop="1" thickBot="1">
      <c r="B31" s="28">
        <f t="shared" si="3"/>
        <v>28</v>
      </c>
      <c r="C31" s="15"/>
      <c r="D31" s="15"/>
      <c r="E31" s="47">
        <v>5</v>
      </c>
      <c r="F31" s="14">
        <v>5</v>
      </c>
      <c r="G31" s="33">
        <v>5</v>
      </c>
      <c r="H31" s="16">
        <v>5</v>
      </c>
      <c r="I31" s="17">
        <f t="shared" si="0"/>
        <v>20</v>
      </c>
      <c r="J31" s="2">
        <v>0</v>
      </c>
      <c r="K31" s="43">
        <v>0</v>
      </c>
      <c r="L31" s="14">
        <f t="shared" si="1"/>
        <v>4</v>
      </c>
      <c r="M31" s="50" t="str">
        <f t="shared" si="2"/>
        <v>غير كاف</v>
      </c>
      <c r="N31" s="18"/>
    </row>
    <row r="32" spans="2:15" ht="16.5" thickTop="1" thickBot="1">
      <c r="B32" s="28">
        <f t="shared" si="3"/>
        <v>29</v>
      </c>
      <c r="C32" s="15"/>
      <c r="D32" s="15"/>
      <c r="E32" s="47">
        <v>5</v>
      </c>
      <c r="F32" s="14">
        <v>5</v>
      </c>
      <c r="G32" s="33">
        <v>5</v>
      </c>
      <c r="H32" s="16">
        <v>5</v>
      </c>
      <c r="I32" s="17">
        <f t="shared" si="0"/>
        <v>20</v>
      </c>
      <c r="J32" s="2">
        <v>0</v>
      </c>
      <c r="K32" s="43">
        <v>0</v>
      </c>
      <c r="L32" s="14">
        <f t="shared" si="1"/>
        <v>4</v>
      </c>
      <c r="M32" s="50" t="str">
        <f t="shared" si="2"/>
        <v>غير كاف</v>
      </c>
      <c r="N32" s="18"/>
    </row>
    <row r="33" spans="2:14" ht="16.5" thickTop="1" thickBot="1">
      <c r="B33" s="28">
        <f t="shared" si="3"/>
        <v>30</v>
      </c>
      <c r="C33" s="15"/>
      <c r="D33" s="15"/>
      <c r="E33" s="47">
        <v>5</v>
      </c>
      <c r="F33" s="14">
        <v>5</v>
      </c>
      <c r="G33" s="33">
        <v>5</v>
      </c>
      <c r="H33" s="16">
        <v>5</v>
      </c>
      <c r="I33" s="17">
        <f t="shared" si="0"/>
        <v>20</v>
      </c>
      <c r="J33" s="2">
        <v>0</v>
      </c>
      <c r="K33" s="43">
        <v>0</v>
      </c>
      <c r="L33" s="14">
        <f t="shared" si="1"/>
        <v>4</v>
      </c>
      <c r="M33" s="50" t="str">
        <f t="shared" si="2"/>
        <v>غير كاف</v>
      </c>
      <c r="N33" s="18"/>
    </row>
    <row r="34" spans="2:14" ht="16.5" thickTop="1" thickBot="1">
      <c r="B34" s="28">
        <f t="shared" si="3"/>
        <v>31</v>
      </c>
      <c r="C34" s="15"/>
      <c r="D34" s="15"/>
      <c r="E34" s="47">
        <v>5</v>
      </c>
      <c r="F34" s="14">
        <v>5</v>
      </c>
      <c r="G34" s="33">
        <v>5</v>
      </c>
      <c r="H34" s="16">
        <v>5</v>
      </c>
      <c r="I34" s="17">
        <f t="shared" si="0"/>
        <v>20</v>
      </c>
      <c r="J34" s="2">
        <v>0</v>
      </c>
      <c r="K34" s="43">
        <v>0</v>
      </c>
      <c r="L34" s="14">
        <f t="shared" si="1"/>
        <v>4</v>
      </c>
      <c r="M34" s="50" t="str">
        <f t="shared" si="2"/>
        <v>غير كاف</v>
      </c>
      <c r="N34" s="18"/>
    </row>
    <row r="35" spans="2:14" ht="16.5" thickTop="1" thickBot="1">
      <c r="B35" s="28">
        <f t="shared" si="3"/>
        <v>32</v>
      </c>
      <c r="C35" s="15"/>
      <c r="D35" s="15"/>
      <c r="E35" s="47">
        <v>5</v>
      </c>
      <c r="F35" s="14">
        <v>5</v>
      </c>
      <c r="G35" s="33">
        <v>5</v>
      </c>
      <c r="H35" s="16">
        <v>5</v>
      </c>
      <c r="I35" s="17">
        <f t="shared" si="0"/>
        <v>20</v>
      </c>
      <c r="J35" s="2">
        <v>0</v>
      </c>
      <c r="K35" s="43">
        <v>0</v>
      </c>
      <c r="L35" s="14">
        <f t="shared" si="1"/>
        <v>4</v>
      </c>
      <c r="M35" s="50" t="str">
        <f t="shared" si="2"/>
        <v>غير كاف</v>
      </c>
      <c r="N35" s="18"/>
    </row>
    <row r="36" spans="2:14" ht="16.5" thickTop="1" thickBot="1">
      <c r="B36" s="28">
        <f t="shared" si="3"/>
        <v>33</v>
      </c>
      <c r="C36" s="15"/>
      <c r="D36" s="15"/>
      <c r="E36" s="47">
        <v>5</v>
      </c>
      <c r="F36" s="14">
        <v>5</v>
      </c>
      <c r="G36" s="33">
        <v>5</v>
      </c>
      <c r="H36" s="16">
        <v>5</v>
      </c>
      <c r="I36" s="17">
        <f t="shared" si="0"/>
        <v>20</v>
      </c>
      <c r="J36" s="2">
        <v>0</v>
      </c>
      <c r="K36" s="43">
        <v>0</v>
      </c>
      <c r="L36" s="14">
        <f t="shared" si="1"/>
        <v>4</v>
      </c>
      <c r="M36" s="50" t="str">
        <f t="shared" si="2"/>
        <v>غير كاف</v>
      </c>
      <c r="N36" s="18"/>
    </row>
    <row r="37" spans="2:14" ht="16.5" thickTop="1" thickBot="1">
      <c r="B37" s="28">
        <f t="shared" si="3"/>
        <v>34</v>
      </c>
      <c r="C37" s="15"/>
      <c r="D37" s="15"/>
      <c r="E37" s="47">
        <v>5</v>
      </c>
      <c r="F37" s="14">
        <v>5</v>
      </c>
      <c r="G37" s="33">
        <v>5</v>
      </c>
      <c r="H37" s="16">
        <v>5</v>
      </c>
      <c r="I37" s="17">
        <f t="shared" si="0"/>
        <v>20</v>
      </c>
      <c r="J37" s="2">
        <v>0</v>
      </c>
      <c r="K37" s="43">
        <v>0</v>
      </c>
      <c r="L37" s="14">
        <f t="shared" si="1"/>
        <v>4</v>
      </c>
      <c r="M37" s="50" t="str">
        <f t="shared" si="2"/>
        <v>غير كاف</v>
      </c>
      <c r="N37" s="18"/>
    </row>
    <row r="38" spans="2:14" ht="16.5" thickTop="1" thickBot="1">
      <c r="B38" s="28">
        <f t="shared" si="3"/>
        <v>35</v>
      </c>
      <c r="C38" s="15"/>
      <c r="D38" s="15"/>
      <c r="E38" s="47">
        <v>5</v>
      </c>
      <c r="F38" s="14">
        <v>5</v>
      </c>
      <c r="G38" s="33">
        <v>5</v>
      </c>
      <c r="H38" s="16">
        <v>5</v>
      </c>
      <c r="I38" s="17">
        <f t="shared" si="0"/>
        <v>20</v>
      </c>
      <c r="J38" s="2">
        <v>0</v>
      </c>
      <c r="K38" s="43">
        <v>0</v>
      </c>
      <c r="L38" s="14">
        <f t="shared" si="1"/>
        <v>4</v>
      </c>
      <c r="M38" s="50" t="str">
        <f t="shared" si="2"/>
        <v>غير كاف</v>
      </c>
      <c r="N38" s="18"/>
    </row>
    <row r="39" spans="2:14" ht="16.5" thickTop="1" thickBot="1">
      <c r="B39" s="28">
        <f t="shared" si="3"/>
        <v>36</v>
      </c>
      <c r="C39" s="15"/>
      <c r="D39" s="15"/>
      <c r="E39" s="47">
        <v>5</v>
      </c>
      <c r="F39" s="14">
        <v>5</v>
      </c>
      <c r="G39" s="33">
        <v>5</v>
      </c>
      <c r="H39" s="16">
        <v>5</v>
      </c>
      <c r="I39" s="17">
        <f t="shared" si="0"/>
        <v>20</v>
      </c>
      <c r="J39" s="2">
        <v>0</v>
      </c>
      <c r="K39" s="43">
        <v>0</v>
      </c>
      <c r="L39" s="14">
        <f t="shared" si="1"/>
        <v>4</v>
      </c>
      <c r="M39" s="50" t="str">
        <f t="shared" si="2"/>
        <v>غير كاف</v>
      </c>
      <c r="N39" s="18"/>
    </row>
    <row r="40" spans="2:14" ht="16.5" thickTop="1" thickBot="1">
      <c r="B40" s="28">
        <f t="shared" si="3"/>
        <v>37</v>
      </c>
      <c r="C40" s="15"/>
      <c r="D40" s="15"/>
      <c r="E40" s="47">
        <v>5</v>
      </c>
      <c r="F40" s="14">
        <v>5</v>
      </c>
      <c r="G40" s="33">
        <v>5</v>
      </c>
      <c r="H40" s="16">
        <v>5</v>
      </c>
      <c r="I40" s="17">
        <f t="shared" si="0"/>
        <v>20</v>
      </c>
      <c r="J40" s="2">
        <v>0</v>
      </c>
      <c r="K40" s="43">
        <v>0</v>
      </c>
      <c r="L40" s="14">
        <f t="shared" si="1"/>
        <v>4</v>
      </c>
      <c r="M40" s="50" t="str">
        <f t="shared" si="2"/>
        <v>غير كاف</v>
      </c>
      <c r="N40" s="18"/>
    </row>
    <row r="41" spans="2:14" ht="16.5" thickTop="1" thickBot="1">
      <c r="B41" s="28">
        <f t="shared" si="3"/>
        <v>38</v>
      </c>
      <c r="C41" s="15"/>
      <c r="D41" s="15"/>
      <c r="E41" s="47">
        <v>5</v>
      </c>
      <c r="F41" s="14">
        <v>5</v>
      </c>
      <c r="G41" s="33">
        <v>5</v>
      </c>
      <c r="H41" s="16">
        <v>5</v>
      </c>
      <c r="I41" s="17">
        <f t="shared" si="0"/>
        <v>20</v>
      </c>
      <c r="J41" s="2">
        <v>0</v>
      </c>
      <c r="K41" s="43">
        <v>0</v>
      </c>
      <c r="L41" s="14">
        <f t="shared" si="1"/>
        <v>4</v>
      </c>
      <c r="M41" s="50" t="str">
        <f t="shared" si="2"/>
        <v>غير كاف</v>
      </c>
      <c r="N41" s="18"/>
    </row>
    <row r="42" spans="2:14" ht="15.75" thickTop="1">
      <c r="B42" s="28">
        <f t="shared" si="3"/>
        <v>39</v>
      </c>
      <c r="C42" s="68"/>
      <c r="D42" s="68"/>
      <c r="E42" s="47">
        <v>5</v>
      </c>
      <c r="F42" s="72">
        <v>5</v>
      </c>
      <c r="G42" s="72">
        <v>5</v>
      </c>
      <c r="H42" s="71">
        <v>5</v>
      </c>
      <c r="I42" s="17">
        <f t="shared" si="0"/>
        <v>20</v>
      </c>
      <c r="J42" s="2">
        <v>0</v>
      </c>
      <c r="K42" s="43">
        <v>0</v>
      </c>
      <c r="L42" s="14">
        <f t="shared" si="1"/>
        <v>4</v>
      </c>
      <c r="M42" s="50" t="str">
        <f t="shared" si="2"/>
        <v>غير كاف</v>
      </c>
      <c r="N42" s="18"/>
    </row>
    <row r="43" spans="2:14">
      <c r="B43" s="1"/>
      <c r="N43" s="69"/>
    </row>
    <row r="44" spans="2:14">
      <c r="E44" s="10"/>
      <c r="F44" s="10"/>
      <c r="G44" s="10"/>
      <c r="H44" s="10"/>
      <c r="I44" s="11"/>
      <c r="J44" s="12"/>
      <c r="K44" s="10"/>
      <c r="L44" s="10"/>
      <c r="M44" s="13"/>
      <c r="N44" s="13"/>
    </row>
  </sheetData>
  <pageMargins left="0.25" right="0.25" top="0.75" bottom="0.75" header="0.3" footer="0.3"/>
  <pageSetup paperSize="9" scale="7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4"/>
  <sheetViews>
    <sheetView rightToLeft="1" topLeftCell="A23" workbookViewId="0">
      <selection activeCell="O41" sqref="O41"/>
    </sheetView>
  </sheetViews>
  <sheetFormatPr baseColWidth="10" defaultColWidth="9.140625" defaultRowHeight="15"/>
  <cols>
    <col min="2" max="2" width="4.7109375" customWidth="1"/>
    <col min="3" max="3" width="9.140625" customWidth="1"/>
    <col min="4" max="4" width="12.28515625" customWidth="1"/>
    <col min="5" max="5" width="7.28515625" customWidth="1"/>
    <col min="6" max="6" width="7.140625" customWidth="1"/>
    <col min="7" max="7" width="7.42578125" customWidth="1"/>
    <col min="8" max="8" width="7.5703125" customWidth="1"/>
    <col min="9" max="9" width="7.42578125" customWidth="1"/>
    <col min="10" max="10" width="5.85546875" customWidth="1"/>
    <col min="11" max="11" width="6.42578125" customWidth="1"/>
    <col min="12" max="12" width="6.85546875" customWidth="1"/>
    <col min="13" max="14" width="10.42578125" customWidth="1"/>
    <col min="15" max="15" width="9.7109375" customWidth="1"/>
  </cols>
  <sheetData>
    <row r="2" spans="2:16" ht="63.75" customHeight="1" thickBot="1">
      <c r="C2" s="48" t="s">
        <v>21</v>
      </c>
      <c r="N2" s="51"/>
    </row>
    <row r="3" spans="2:16" ht="31.5" thickTop="1" thickBot="1">
      <c r="B3" s="29" t="s">
        <v>11</v>
      </c>
      <c r="C3" s="31" t="s">
        <v>0</v>
      </c>
      <c r="D3" s="32" t="s">
        <v>1</v>
      </c>
      <c r="E3" s="37" t="s">
        <v>13</v>
      </c>
      <c r="F3" s="38" t="s">
        <v>14</v>
      </c>
      <c r="G3" s="39" t="s">
        <v>16</v>
      </c>
      <c r="H3" s="40" t="s">
        <v>15</v>
      </c>
      <c r="I3" s="52" t="s">
        <v>12</v>
      </c>
      <c r="J3" s="53" t="s">
        <v>2</v>
      </c>
      <c r="K3" s="54" t="s">
        <v>3</v>
      </c>
      <c r="L3" s="49" t="s">
        <v>4</v>
      </c>
      <c r="M3" s="55" t="s">
        <v>5</v>
      </c>
      <c r="N3" s="56" t="s">
        <v>18</v>
      </c>
      <c r="O3" s="1"/>
    </row>
    <row r="4" spans="2:16" ht="16.5" thickTop="1" thickBot="1">
      <c r="B4" s="30">
        <v>1</v>
      </c>
      <c r="C4" s="15"/>
      <c r="D4" s="15"/>
      <c r="E4" s="44">
        <v>5</v>
      </c>
      <c r="F4" s="46">
        <v>5</v>
      </c>
      <c r="G4" s="34">
        <v>5</v>
      </c>
      <c r="H4" s="45">
        <v>5</v>
      </c>
      <c r="I4" s="35">
        <f t="shared" ref="I4:I42" si="0">SUM(E4:H4)</f>
        <v>20</v>
      </c>
      <c r="J4" s="36">
        <v>0</v>
      </c>
      <c r="K4" s="42">
        <v>0</v>
      </c>
      <c r="L4" s="41">
        <f>(J4+I4+K4*3)/5</f>
        <v>4</v>
      </c>
      <c r="M4" s="50" t="str">
        <f>IF(L4&gt;=17, "عمل ممتاز",
 IF(L4&gt;=16, "جيد جدا",
IF(L4&gt;=14, "نتائج جيدة",
IF(L4&gt;=12, "نتائج حسنة",
IF(L4&gt;=10, "نتائج متوسطة",
IF(L4&gt;=9, "دون المتوسط",
IF(L4&gt;=0, "غير كاف" )))))))</f>
        <v>غير كاف</v>
      </c>
      <c r="N4" s="57"/>
      <c r="O4" s="20" t="s">
        <v>6</v>
      </c>
      <c r="P4" s="19"/>
    </row>
    <row r="5" spans="2:16" ht="16.5" thickTop="1" thickBot="1">
      <c r="B5" s="28">
        <f>B4+1</f>
        <v>2</v>
      </c>
      <c r="C5" s="15"/>
      <c r="D5" s="15"/>
      <c r="E5" s="47">
        <v>5</v>
      </c>
      <c r="F5" s="14">
        <v>5</v>
      </c>
      <c r="G5" s="33">
        <v>5</v>
      </c>
      <c r="H5" s="16">
        <v>5</v>
      </c>
      <c r="I5" s="17">
        <f t="shared" si="0"/>
        <v>20</v>
      </c>
      <c r="J5" s="2">
        <v>0</v>
      </c>
      <c r="K5" s="43">
        <v>0</v>
      </c>
      <c r="L5" s="14">
        <f t="shared" ref="L5:L42" si="1">(J5+I5+K5*3)/5</f>
        <v>4</v>
      </c>
      <c r="M5" s="50" t="str">
        <f t="shared" ref="M5:M42" si="2">IF(L5&gt;=17, "عمل ممتاز",
 IF(L5&gt;=16, "جيد جدا",
IF(L5&gt;=14, "نتائج جيدة",
IF(L5&gt;=12, "نتائج حسنة",
IF(L5&gt;=10, "نتائج متوسطة",
IF(L5&gt;=9, "دون المتوسط",
IF(L5&gt;=0, "غير كاف" )))))))</f>
        <v>غير كاف</v>
      </c>
      <c r="N5" s="18"/>
      <c r="O5" s="21">
        <f>MAX(L:L)</f>
        <v>4</v>
      </c>
      <c r="P5" s="19"/>
    </row>
    <row r="6" spans="2:16" ht="16.5" thickTop="1" thickBot="1">
      <c r="B6" s="28">
        <f t="shared" ref="B6:B42" si="3">B5+1</f>
        <v>3</v>
      </c>
      <c r="C6" s="15"/>
      <c r="D6" s="15"/>
      <c r="E6" s="47">
        <v>5</v>
      </c>
      <c r="F6" s="14">
        <v>5</v>
      </c>
      <c r="G6" s="33">
        <v>5</v>
      </c>
      <c r="H6" s="16">
        <v>5</v>
      </c>
      <c r="I6" s="17">
        <f t="shared" si="0"/>
        <v>20</v>
      </c>
      <c r="J6" s="2">
        <v>0</v>
      </c>
      <c r="K6" s="43">
        <v>0</v>
      </c>
      <c r="L6" s="14">
        <f t="shared" si="1"/>
        <v>4</v>
      </c>
      <c r="M6" s="50" t="str">
        <f t="shared" si="2"/>
        <v>غير كاف</v>
      </c>
      <c r="N6" s="18"/>
      <c r="O6" s="3"/>
    </row>
    <row r="7" spans="2:16" ht="16.5" thickTop="1" thickBot="1">
      <c r="B7" s="28">
        <f t="shared" si="3"/>
        <v>4</v>
      </c>
      <c r="C7" s="15"/>
      <c r="D7" s="15"/>
      <c r="E7" s="47">
        <v>5</v>
      </c>
      <c r="F7" s="14">
        <v>5</v>
      </c>
      <c r="G7" s="33">
        <v>5</v>
      </c>
      <c r="H7" s="16">
        <v>5</v>
      </c>
      <c r="I7" s="17">
        <f t="shared" si="0"/>
        <v>20</v>
      </c>
      <c r="J7" s="2">
        <v>0</v>
      </c>
      <c r="K7" s="43">
        <v>0</v>
      </c>
      <c r="L7" s="14">
        <f t="shared" si="1"/>
        <v>4</v>
      </c>
      <c r="M7" s="50" t="str">
        <f t="shared" si="2"/>
        <v>غير كاف</v>
      </c>
      <c r="N7" s="18"/>
      <c r="O7" s="22" t="s">
        <v>7</v>
      </c>
    </row>
    <row r="8" spans="2:16" ht="16.5" thickTop="1" thickBot="1">
      <c r="B8" s="28">
        <f t="shared" si="3"/>
        <v>5</v>
      </c>
      <c r="C8" s="15"/>
      <c r="D8" s="15"/>
      <c r="E8" s="47">
        <v>5</v>
      </c>
      <c r="F8" s="14">
        <v>5</v>
      </c>
      <c r="G8" s="33">
        <v>5</v>
      </c>
      <c r="H8" s="16">
        <v>5</v>
      </c>
      <c r="I8" s="17">
        <f t="shared" si="0"/>
        <v>20</v>
      </c>
      <c r="J8" s="2">
        <v>0</v>
      </c>
      <c r="K8" s="43">
        <v>0</v>
      </c>
      <c r="L8" s="14">
        <f t="shared" si="1"/>
        <v>4</v>
      </c>
      <c r="M8" s="50" t="str">
        <f t="shared" si="2"/>
        <v>غير كاف</v>
      </c>
      <c r="N8" s="18"/>
      <c r="O8" s="23">
        <f>MIN(L:L)</f>
        <v>4</v>
      </c>
      <c r="P8" s="19"/>
    </row>
    <row r="9" spans="2:16" ht="16.5" thickTop="1" thickBot="1">
      <c r="B9" s="28">
        <f t="shared" si="3"/>
        <v>6</v>
      </c>
      <c r="C9" s="15"/>
      <c r="D9" s="15"/>
      <c r="E9" s="47">
        <v>5</v>
      </c>
      <c r="F9" s="14">
        <v>5</v>
      </c>
      <c r="G9" s="33">
        <v>5</v>
      </c>
      <c r="H9" s="16">
        <v>5</v>
      </c>
      <c r="I9" s="17">
        <f t="shared" si="0"/>
        <v>20</v>
      </c>
      <c r="J9" s="2">
        <v>0</v>
      </c>
      <c r="K9" s="43">
        <v>0</v>
      </c>
      <c r="L9" s="14">
        <f t="shared" si="1"/>
        <v>4</v>
      </c>
      <c r="M9" s="50" t="str">
        <f t="shared" si="2"/>
        <v>غير كاف</v>
      </c>
      <c r="N9" s="18"/>
      <c r="O9" s="24"/>
    </row>
    <row r="10" spans="2:16" ht="16.5" thickTop="1" thickBot="1">
      <c r="B10" s="28">
        <f t="shared" si="3"/>
        <v>7</v>
      </c>
      <c r="C10" s="15"/>
      <c r="D10" s="15"/>
      <c r="E10" s="47">
        <v>5</v>
      </c>
      <c r="F10" s="14">
        <v>5</v>
      </c>
      <c r="G10" s="33">
        <v>5</v>
      </c>
      <c r="H10" s="16">
        <v>5</v>
      </c>
      <c r="I10" s="17">
        <f t="shared" si="0"/>
        <v>20</v>
      </c>
      <c r="J10" s="2">
        <v>0</v>
      </c>
      <c r="K10" s="43">
        <v>0</v>
      </c>
      <c r="L10" s="14">
        <f t="shared" si="1"/>
        <v>4</v>
      </c>
      <c r="M10" s="50" t="str">
        <f t="shared" si="2"/>
        <v>غير كاف</v>
      </c>
      <c r="N10" s="18"/>
      <c r="O10" s="4"/>
    </row>
    <row r="11" spans="2:16" ht="16.5" thickTop="1" thickBot="1">
      <c r="B11" s="28">
        <f t="shared" si="3"/>
        <v>8</v>
      </c>
      <c r="C11" s="15"/>
      <c r="D11" s="15"/>
      <c r="E11" s="47">
        <v>5</v>
      </c>
      <c r="F11" s="14">
        <v>5</v>
      </c>
      <c r="G11" s="33">
        <v>5</v>
      </c>
      <c r="H11" s="16">
        <v>5</v>
      </c>
      <c r="I11" s="17">
        <f t="shared" si="0"/>
        <v>20</v>
      </c>
      <c r="J11" s="2">
        <v>0</v>
      </c>
      <c r="K11" s="43">
        <v>0</v>
      </c>
      <c r="L11" s="14">
        <f t="shared" si="1"/>
        <v>4</v>
      </c>
      <c r="M11" s="50" t="str">
        <f t="shared" si="2"/>
        <v>غير كاف</v>
      </c>
      <c r="N11" s="18"/>
      <c r="O11" s="25" t="s">
        <v>8</v>
      </c>
    </row>
    <row r="12" spans="2:16" ht="16.5" thickTop="1" thickBot="1">
      <c r="B12" s="28">
        <f t="shared" si="3"/>
        <v>9</v>
      </c>
      <c r="C12" s="15"/>
      <c r="D12" s="15"/>
      <c r="E12" s="47">
        <v>5</v>
      </c>
      <c r="F12" s="14">
        <v>5</v>
      </c>
      <c r="G12" s="33">
        <v>5</v>
      </c>
      <c r="H12" s="16">
        <v>5</v>
      </c>
      <c r="I12" s="17">
        <f t="shared" si="0"/>
        <v>20</v>
      </c>
      <c r="J12" s="2">
        <v>0</v>
      </c>
      <c r="K12" s="43">
        <v>0</v>
      </c>
      <c r="L12" s="14">
        <f t="shared" si="1"/>
        <v>4</v>
      </c>
      <c r="M12" s="50" t="str">
        <f t="shared" si="2"/>
        <v>غير كاف</v>
      </c>
      <c r="N12" s="18"/>
      <c r="O12" s="26">
        <f>AVERAGE(L:L)</f>
        <v>4</v>
      </c>
    </row>
    <row r="13" spans="2:16" ht="16.5" thickTop="1" thickBot="1">
      <c r="B13" s="28">
        <f t="shared" si="3"/>
        <v>10</v>
      </c>
      <c r="C13" s="15"/>
      <c r="D13" s="15"/>
      <c r="E13" s="47">
        <v>5</v>
      </c>
      <c r="F13" s="14">
        <v>5</v>
      </c>
      <c r="G13" s="33">
        <v>5</v>
      </c>
      <c r="H13" s="16">
        <v>5</v>
      </c>
      <c r="I13" s="17">
        <f t="shared" si="0"/>
        <v>20</v>
      </c>
      <c r="J13" s="2">
        <v>0</v>
      </c>
      <c r="K13" s="43">
        <v>0</v>
      </c>
      <c r="L13" s="14">
        <f t="shared" si="1"/>
        <v>4</v>
      </c>
      <c r="M13" s="50" t="str">
        <f t="shared" si="2"/>
        <v>غير كاف</v>
      </c>
      <c r="N13" s="18"/>
      <c r="O13" s="27"/>
    </row>
    <row r="14" spans="2:16" ht="16.5" thickTop="1" thickBot="1">
      <c r="B14" s="28">
        <f t="shared" si="3"/>
        <v>11</v>
      </c>
      <c r="C14" s="15"/>
      <c r="D14" s="15"/>
      <c r="E14" s="47">
        <v>5</v>
      </c>
      <c r="F14" s="14">
        <v>5</v>
      </c>
      <c r="G14" s="33">
        <v>5</v>
      </c>
      <c r="H14" s="16">
        <v>5</v>
      </c>
      <c r="I14" s="17">
        <f t="shared" si="0"/>
        <v>20</v>
      </c>
      <c r="J14" s="2">
        <v>0</v>
      </c>
      <c r="K14" s="43">
        <v>0</v>
      </c>
      <c r="L14" s="14">
        <f t="shared" si="1"/>
        <v>4</v>
      </c>
      <c r="M14" s="50" t="str">
        <f t="shared" si="2"/>
        <v>غير كاف</v>
      </c>
      <c r="N14" s="18"/>
      <c r="O14" s="1"/>
    </row>
    <row r="15" spans="2:16" ht="16.5" thickTop="1" thickBot="1">
      <c r="B15" s="28">
        <f t="shared" si="3"/>
        <v>12</v>
      </c>
      <c r="C15" s="15"/>
      <c r="D15" s="15"/>
      <c r="E15" s="47">
        <v>5</v>
      </c>
      <c r="F15" s="14">
        <v>5</v>
      </c>
      <c r="G15" s="33">
        <v>5</v>
      </c>
      <c r="H15" s="16">
        <v>5</v>
      </c>
      <c r="I15" s="17">
        <f t="shared" si="0"/>
        <v>20</v>
      </c>
      <c r="J15" s="2">
        <v>0</v>
      </c>
      <c r="K15" s="43">
        <v>0</v>
      </c>
      <c r="L15" s="14">
        <f t="shared" si="1"/>
        <v>4</v>
      </c>
      <c r="M15" s="50" t="str">
        <f t="shared" si="2"/>
        <v>غير كاف</v>
      </c>
      <c r="N15" s="18"/>
      <c r="O15" s="1"/>
    </row>
    <row r="16" spans="2:16" ht="16.5" thickTop="1" thickBot="1">
      <c r="B16" s="28">
        <f t="shared" si="3"/>
        <v>13</v>
      </c>
      <c r="C16" s="15"/>
      <c r="D16" s="15"/>
      <c r="E16" s="47">
        <v>5</v>
      </c>
      <c r="F16" s="14">
        <v>5</v>
      </c>
      <c r="G16" s="33">
        <v>5</v>
      </c>
      <c r="H16" s="16">
        <v>5</v>
      </c>
      <c r="I16" s="17">
        <f t="shared" si="0"/>
        <v>20</v>
      </c>
      <c r="J16" s="2">
        <v>0</v>
      </c>
      <c r="K16" s="43">
        <v>0</v>
      </c>
      <c r="L16" s="14">
        <f t="shared" si="1"/>
        <v>4</v>
      </c>
      <c r="M16" s="50" t="str">
        <f t="shared" si="2"/>
        <v>غير كاف</v>
      </c>
      <c r="N16" s="18"/>
      <c r="O16" s="1"/>
    </row>
    <row r="17" spans="2:15" ht="16.5" thickTop="1" thickBot="1">
      <c r="B17" s="28">
        <f t="shared" si="3"/>
        <v>14</v>
      </c>
      <c r="C17" s="15"/>
      <c r="D17" s="15"/>
      <c r="E17" s="47">
        <v>5</v>
      </c>
      <c r="F17" s="14">
        <v>5</v>
      </c>
      <c r="G17" s="33">
        <v>5</v>
      </c>
      <c r="H17" s="16">
        <v>5</v>
      </c>
      <c r="I17" s="17">
        <f t="shared" si="0"/>
        <v>20</v>
      </c>
      <c r="J17" s="2">
        <v>0</v>
      </c>
      <c r="K17" s="43">
        <v>0</v>
      </c>
      <c r="L17" s="14">
        <f t="shared" si="1"/>
        <v>4</v>
      </c>
      <c r="M17" s="50" t="str">
        <f t="shared" si="2"/>
        <v>غير كاف</v>
      </c>
      <c r="N17" s="18"/>
      <c r="O17" s="1"/>
    </row>
    <row r="18" spans="2:15" ht="17.25" thickTop="1" thickBot="1">
      <c r="B18" s="28">
        <f t="shared" si="3"/>
        <v>15</v>
      </c>
      <c r="C18" s="15"/>
      <c r="D18" s="15"/>
      <c r="E18" s="47">
        <v>5</v>
      </c>
      <c r="F18" s="14">
        <v>5</v>
      </c>
      <c r="G18" s="33">
        <v>5</v>
      </c>
      <c r="H18" s="16">
        <v>5</v>
      </c>
      <c r="I18" s="17">
        <f t="shared" si="0"/>
        <v>20</v>
      </c>
      <c r="J18" s="2">
        <v>0</v>
      </c>
      <c r="K18" s="43">
        <v>0</v>
      </c>
      <c r="L18" s="14">
        <f t="shared" si="1"/>
        <v>4</v>
      </c>
      <c r="M18" s="50" t="str">
        <f t="shared" si="2"/>
        <v>غير كاف</v>
      </c>
      <c r="N18" s="18"/>
      <c r="O18" s="5" t="s">
        <v>9</v>
      </c>
    </row>
    <row r="19" spans="2:15" ht="17.25" thickTop="1" thickBot="1">
      <c r="B19" s="28">
        <f t="shared" si="3"/>
        <v>16</v>
      </c>
      <c r="C19" s="15"/>
      <c r="D19" s="15"/>
      <c r="E19" s="47">
        <v>5</v>
      </c>
      <c r="F19" s="14">
        <v>5</v>
      </c>
      <c r="G19" s="33">
        <v>5</v>
      </c>
      <c r="H19" s="16">
        <v>5</v>
      </c>
      <c r="I19" s="17">
        <f t="shared" si="0"/>
        <v>20</v>
      </c>
      <c r="J19" s="2">
        <v>0</v>
      </c>
      <c r="K19" s="43">
        <v>0</v>
      </c>
      <c r="L19" s="14">
        <f t="shared" si="1"/>
        <v>4</v>
      </c>
      <c r="M19" s="50" t="str">
        <f t="shared" si="2"/>
        <v>غير كاف</v>
      </c>
      <c r="N19" s="18"/>
      <c r="O19" s="5">
        <f>COUNTIFS(L:L,"&lt;10",L:L,"&gt;=0")</f>
        <v>39</v>
      </c>
    </row>
    <row r="20" spans="2:15" ht="17.25" thickTop="1" thickBot="1">
      <c r="B20" s="28">
        <f t="shared" si="3"/>
        <v>17</v>
      </c>
      <c r="C20" s="15"/>
      <c r="D20" s="15"/>
      <c r="E20" s="47">
        <v>5</v>
      </c>
      <c r="F20" s="14">
        <v>5</v>
      </c>
      <c r="G20" s="33">
        <v>5</v>
      </c>
      <c r="H20" s="16">
        <v>5</v>
      </c>
      <c r="I20" s="17">
        <f t="shared" si="0"/>
        <v>20</v>
      </c>
      <c r="J20" s="2">
        <v>0</v>
      </c>
      <c r="K20" s="43">
        <v>0</v>
      </c>
      <c r="L20" s="14">
        <f t="shared" si="1"/>
        <v>4</v>
      </c>
      <c r="M20" s="50" t="str">
        <f t="shared" si="2"/>
        <v>غير كاف</v>
      </c>
      <c r="N20" s="18"/>
      <c r="O20" s="6">
        <f>O19/COUNT(L:L)</f>
        <v>1</v>
      </c>
    </row>
    <row r="21" spans="2:15" ht="16.5" thickTop="1" thickBot="1">
      <c r="B21" s="28">
        <f t="shared" si="3"/>
        <v>18</v>
      </c>
      <c r="C21" s="15"/>
      <c r="D21" s="15"/>
      <c r="E21" s="47">
        <v>5</v>
      </c>
      <c r="F21" s="14">
        <v>5</v>
      </c>
      <c r="G21" s="33">
        <v>5</v>
      </c>
      <c r="H21" s="16">
        <v>5</v>
      </c>
      <c r="I21" s="17">
        <f t="shared" si="0"/>
        <v>20</v>
      </c>
      <c r="J21" s="2">
        <v>0</v>
      </c>
      <c r="K21" s="43">
        <v>0</v>
      </c>
      <c r="L21" s="14">
        <f t="shared" si="1"/>
        <v>4</v>
      </c>
      <c r="M21" s="50" t="str">
        <f t="shared" si="2"/>
        <v>غير كاف</v>
      </c>
      <c r="N21" s="18"/>
      <c r="O21" s="1"/>
    </row>
    <row r="22" spans="2:15" ht="17.25" thickTop="1" thickBot="1">
      <c r="B22" s="28">
        <f t="shared" si="3"/>
        <v>19</v>
      </c>
      <c r="C22" s="15"/>
      <c r="D22" s="15"/>
      <c r="E22" s="47">
        <v>5</v>
      </c>
      <c r="F22" s="14">
        <v>5</v>
      </c>
      <c r="G22" s="33">
        <v>5</v>
      </c>
      <c r="H22" s="16">
        <v>5</v>
      </c>
      <c r="I22" s="17">
        <f t="shared" si="0"/>
        <v>20</v>
      </c>
      <c r="J22" s="2">
        <v>0</v>
      </c>
      <c r="K22" s="43">
        <v>0</v>
      </c>
      <c r="L22" s="14">
        <f t="shared" si="1"/>
        <v>4</v>
      </c>
      <c r="M22" s="50" t="str">
        <f t="shared" si="2"/>
        <v>غير كاف</v>
      </c>
      <c r="N22" s="18"/>
      <c r="O22" s="7" t="s">
        <v>10</v>
      </c>
    </row>
    <row r="23" spans="2:15" ht="17.25" thickTop="1" thickBot="1">
      <c r="B23" s="28">
        <f t="shared" si="3"/>
        <v>20</v>
      </c>
      <c r="C23" s="15"/>
      <c r="D23" s="15"/>
      <c r="E23" s="47">
        <v>5</v>
      </c>
      <c r="F23" s="14">
        <v>5</v>
      </c>
      <c r="G23" s="33">
        <v>5</v>
      </c>
      <c r="H23" s="16">
        <v>5</v>
      </c>
      <c r="I23" s="17">
        <f t="shared" si="0"/>
        <v>20</v>
      </c>
      <c r="J23" s="2">
        <v>0</v>
      </c>
      <c r="K23" s="43">
        <v>0</v>
      </c>
      <c r="L23" s="14">
        <f t="shared" si="1"/>
        <v>4</v>
      </c>
      <c r="M23" s="50" t="str">
        <f t="shared" si="2"/>
        <v>غير كاف</v>
      </c>
      <c r="N23" s="18"/>
      <c r="O23" s="8">
        <f>COUNTIFS(L:L,"&lt;=20",L:L,"&gt;=10")</f>
        <v>0</v>
      </c>
    </row>
    <row r="24" spans="2:15" ht="17.25" thickTop="1" thickBot="1">
      <c r="B24" s="28">
        <f t="shared" si="3"/>
        <v>21</v>
      </c>
      <c r="C24" s="15"/>
      <c r="D24" s="15"/>
      <c r="E24" s="47">
        <v>5</v>
      </c>
      <c r="F24" s="14">
        <v>5</v>
      </c>
      <c r="G24" s="33">
        <v>5</v>
      </c>
      <c r="H24" s="16">
        <v>5</v>
      </c>
      <c r="I24" s="17">
        <f t="shared" si="0"/>
        <v>20</v>
      </c>
      <c r="J24" s="2">
        <v>0</v>
      </c>
      <c r="K24" s="43">
        <v>0</v>
      </c>
      <c r="L24" s="14">
        <f t="shared" si="1"/>
        <v>4</v>
      </c>
      <c r="M24" s="50" t="str">
        <f t="shared" si="2"/>
        <v>غير كاف</v>
      </c>
      <c r="N24" s="18"/>
      <c r="O24" s="9">
        <f>O23/COUNT(L:L)</f>
        <v>0</v>
      </c>
    </row>
    <row r="25" spans="2:15" ht="16.5" thickTop="1" thickBot="1">
      <c r="B25" s="28">
        <f t="shared" si="3"/>
        <v>22</v>
      </c>
      <c r="C25" s="15"/>
      <c r="D25" s="15"/>
      <c r="E25" s="47">
        <v>5</v>
      </c>
      <c r="F25" s="14">
        <v>5</v>
      </c>
      <c r="G25" s="33">
        <v>5</v>
      </c>
      <c r="H25" s="16">
        <v>5</v>
      </c>
      <c r="I25" s="17">
        <f t="shared" si="0"/>
        <v>20</v>
      </c>
      <c r="J25" s="2">
        <v>0</v>
      </c>
      <c r="K25" s="43">
        <v>0</v>
      </c>
      <c r="L25" s="14">
        <f t="shared" si="1"/>
        <v>4</v>
      </c>
      <c r="M25" s="50" t="str">
        <f t="shared" si="2"/>
        <v>غير كاف</v>
      </c>
      <c r="N25" s="18"/>
      <c r="O25" s="1"/>
    </row>
    <row r="26" spans="2:15" ht="16.5" thickTop="1" thickBot="1">
      <c r="B26" s="28">
        <f t="shared" si="3"/>
        <v>23</v>
      </c>
      <c r="C26" s="15"/>
      <c r="D26" s="15"/>
      <c r="E26" s="47">
        <v>5</v>
      </c>
      <c r="F26" s="14">
        <v>5</v>
      </c>
      <c r="G26" s="33">
        <v>5</v>
      </c>
      <c r="H26" s="16">
        <v>5</v>
      </c>
      <c r="I26" s="17">
        <f t="shared" si="0"/>
        <v>20</v>
      </c>
      <c r="J26" s="2">
        <v>0</v>
      </c>
      <c r="K26" s="43">
        <v>0</v>
      </c>
      <c r="L26" s="14">
        <f t="shared" si="1"/>
        <v>4</v>
      </c>
      <c r="M26" s="50" t="str">
        <f t="shared" si="2"/>
        <v>غير كاف</v>
      </c>
      <c r="N26" s="18"/>
      <c r="O26" s="1"/>
    </row>
    <row r="27" spans="2:15" ht="16.5" thickTop="1" thickBot="1">
      <c r="B27" s="28">
        <f t="shared" si="3"/>
        <v>24</v>
      </c>
      <c r="C27" s="15"/>
      <c r="D27" s="15"/>
      <c r="E27" s="47">
        <v>5</v>
      </c>
      <c r="F27" s="14">
        <v>5</v>
      </c>
      <c r="G27" s="33">
        <v>5</v>
      </c>
      <c r="H27" s="16">
        <v>5</v>
      </c>
      <c r="I27" s="17">
        <f t="shared" si="0"/>
        <v>20</v>
      </c>
      <c r="J27" s="2">
        <v>0</v>
      </c>
      <c r="K27" s="43">
        <v>0</v>
      </c>
      <c r="L27" s="14">
        <f t="shared" si="1"/>
        <v>4</v>
      </c>
      <c r="M27" s="50" t="str">
        <f t="shared" si="2"/>
        <v>غير كاف</v>
      </c>
      <c r="N27" s="18"/>
      <c r="O27" s="1"/>
    </row>
    <row r="28" spans="2:15" ht="16.5" thickTop="1" thickBot="1">
      <c r="B28" s="28">
        <f t="shared" si="3"/>
        <v>25</v>
      </c>
      <c r="C28" s="15"/>
      <c r="D28" s="15"/>
      <c r="E28" s="47">
        <v>5</v>
      </c>
      <c r="F28" s="14">
        <v>5</v>
      </c>
      <c r="G28" s="33">
        <v>5</v>
      </c>
      <c r="H28" s="16">
        <v>5</v>
      </c>
      <c r="I28" s="17">
        <f t="shared" si="0"/>
        <v>20</v>
      </c>
      <c r="J28" s="2">
        <v>0</v>
      </c>
      <c r="K28" s="43">
        <v>0</v>
      </c>
      <c r="L28" s="14">
        <f t="shared" si="1"/>
        <v>4</v>
      </c>
      <c r="M28" s="50" t="str">
        <f t="shared" si="2"/>
        <v>غير كاف</v>
      </c>
      <c r="N28" s="18"/>
    </row>
    <row r="29" spans="2:15" ht="16.5" thickTop="1" thickBot="1">
      <c r="B29" s="28">
        <f t="shared" si="3"/>
        <v>26</v>
      </c>
      <c r="C29" s="15"/>
      <c r="D29" s="15"/>
      <c r="E29" s="47">
        <v>5</v>
      </c>
      <c r="F29" s="14">
        <v>5</v>
      </c>
      <c r="G29" s="33">
        <v>5</v>
      </c>
      <c r="H29" s="16">
        <v>5</v>
      </c>
      <c r="I29" s="17">
        <f t="shared" si="0"/>
        <v>20</v>
      </c>
      <c r="J29" s="2">
        <v>0</v>
      </c>
      <c r="K29" s="43">
        <v>0</v>
      </c>
      <c r="L29" s="14">
        <f t="shared" si="1"/>
        <v>4</v>
      </c>
      <c r="M29" s="50" t="str">
        <f t="shared" si="2"/>
        <v>غير كاف</v>
      </c>
      <c r="N29" s="18"/>
    </row>
    <row r="30" spans="2:15" ht="16.5" thickTop="1" thickBot="1">
      <c r="B30" s="28">
        <f t="shared" si="3"/>
        <v>27</v>
      </c>
      <c r="C30" s="15"/>
      <c r="D30" s="15"/>
      <c r="E30" s="47">
        <v>5</v>
      </c>
      <c r="F30" s="14">
        <v>5</v>
      </c>
      <c r="G30" s="33">
        <v>5</v>
      </c>
      <c r="H30" s="16">
        <v>5</v>
      </c>
      <c r="I30" s="17">
        <f t="shared" si="0"/>
        <v>20</v>
      </c>
      <c r="J30" s="2">
        <v>0</v>
      </c>
      <c r="K30" s="43">
        <v>0</v>
      </c>
      <c r="L30" s="14">
        <f t="shared" si="1"/>
        <v>4</v>
      </c>
      <c r="M30" s="50" t="str">
        <f t="shared" si="2"/>
        <v>غير كاف</v>
      </c>
      <c r="N30" s="18"/>
    </row>
    <row r="31" spans="2:15" ht="16.5" thickTop="1" thickBot="1">
      <c r="B31" s="28">
        <f t="shared" si="3"/>
        <v>28</v>
      </c>
      <c r="C31" s="15"/>
      <c r="D31" s="15"/>
      <c r="E31" s="47">
        <v>5</v>
      </c>
      <c r="F31" s="14">
        <v>5</v>
      </c>
      <c r="G31" s="33">
        <v>5</v>
      </c>
      <c r="H31" s="16">
        <v>5</v>
      </c>
      <c r="I31" s="17">
        <f t="shared" si="0"/>
        <v>20</v>
      </c>
      <c r="J31" s="2">
        <v>0</v>
      </c>
      <c r="K31" s="43">
        <v>0</v>
      </c>
      <c r="L31" s="14">
        <f t="shared" si="1"/>
        <v>4</v>
      </c>
      <c r="M31" s="50" t="str">
        <f t="shared" si="2"/>
        <v>غير كاف</v>
      </c>
      <c r="N31" s="18"/>
    </row>
    <row r="32" spans="2:15" ht="16.5" thickTop="1" thickBot="1">
      <c r="B32" s="28">
        <f t="shared" si="3"/>
        <v>29</v>
      </c>
      <c r="C32" s="15"/>
      <c r="D32" s="15"/>
      <c r="E32" s="47">
        <v>5</v>
      </c>
      <c r="F32" s="14">
        <v>5</v>
      </c>
      <c r="G32" s="33">
        <v>5</v>
      </c>
      <c r="H32" s="16">
        <v>5</v>
      </c>
      <c r="I32" s="17">
        <f t="shared" si="0"/>
        <v>20</v>
      </c>
      <c r="J32" s="2">
        <v>0</v>
      </c>
      <c r="K32" s="43">
        <v>0</v>
      </c>
      <c r="L32" s="14">
        <f t="shared" si="1"/>
        <v>4</v>
      </c>
      <c r="M32" s="50" t="str">
        <f t="shared" si="2"/>
        <v>غير كاف</v>
      </c>
      <c r="N32" s="18"/>
    </row>
    <row r="33" spans="2:14" ht="16.5" thickTop="1" thickBot="1">
      <c r="B33" s="28">
        <f t="shared" si="3"/>
        <v>30</v>
      </c>
      <c r="C33" s="15"/>
      <c r="D33" s="15"/>
      <c r="E33" s="47">
        <v>5</v>
      </c>
      <c r="F33" s="14">
        <v>5</v>
      </c>
      <c r="G33" s="33">
        <v>5</v>
      </c>
      <c r="H33" s="16">
        <v>5</v>
      </c>
      <c r="I33" s="17">
        <f t="shared" si="0"/>
        <v>20</v>
      </c>
      <c r="J33" s="2">
        <v>0</v>
      </c>
      <c r="K33" s="43">
        <v>0</v>
      </c>
      <c r="L33" s="14">
        <f t="shared" si="1"/>
        <v>4</v>
      </c>
      <c r="M33" s="50" t="str">
        <f t="shared" si="2"/>
        <v>غير كاف</v>
      </c>
      <c r="N33" s="18"/>
    </row>
    <row r="34" spans="2:14" ht="16.5" thickTop="1" thickBot="1">
      <c r="B34" s="28">
        <f t="shared" si="3"/>
        <v>31</v>
      </c>
      <c r="C34" s="15"/>
      <c r="D34" s="15"/>
      <c r="E34" s="47">
        <v>5</v>
      </c>
      <c r="F34" s="14">
        <v>5</v>
      </c>
      <c r="G34" s="33">
        <v>5</v>
      </c>
      <c r="H34" s="16">
        <v>5</v>
      </c>
      <c r="I34" s="17">
        <f t="shared" si="0"/>
        <v>20</v>
      </c>
      <c r="J34" s="2">
        <v>0</v>
      </c>
      <c r="K34" s="43">
        <v>0</v>
      </c>
      <c r="L34" s="14">
        <f t="shared" si="1"/>
        <v>4</v>
      </c>
      <c r="M34" s="50" t="str">
        <f t="shared" si="2"/>
        <v>غير كاف</v>
      </c>
      <c r="N34" s="18"/>
    </row>
    <row r="35" spans="2:14" ht="16.5" thickTop="1" thickBot="1">
      <c r="B35" s="28">
        <f t="shared" si="3"/>
        <v>32</v>
      </c>
      <c r="C35" s="15"/>
      <c r="D35" s="15"/>
      <c r="E35" s="47">
        <v>5</v>
      </c>
      <c r="F35" s="14">
        <v>5</v>
      </c>
      <c r="G35" s="33">
        <v>5</v>
      </c>
      <c r="H35" s="16">
        <v>5</v>
      </c>
      <c r="I35" s="17">
        <f t="shared" si="0"/>
        <v>20</v>
      </c>
      <c r="J35" s="2">
        <v>0</v>
      </c>
      <c r="K35" s="43">
        <v>0</v>
      </c>
      <c r="L35" s="14">
        <f t="shared" si="1"/>
        <v>4</v>
      </c>
      <c r="M35" s="50" t="str">
        <f t="shared" si="2"/>
        <v>غير كاف</v>
      </c>
      <c r="N35" s="18"/>
    </row>
    <row r="36" spans="2:14" ht="16.5" thickTop="1" thickBot="1">
      <c r="B36" s="28">
        <f t="shared" si="3"/>
        <v>33</v>
      </c>
      <c r="C36" s="15"/>
      <c r="D36" s="15"/>
      <c r="E36" s="47">
        <v>5</v>
      </c>
      <c r="F36" s="14">
        <v>5</v>
      </c>
      <c r="G36" s="33">
        <v>5</v>
      </c>
      <c r="H36" s="16">
        <v>5</v>
      </c>
      <c r="I36" s="17">
        <f t="shared" si="0"/>
        <v>20</v>
      </c>
      <c r="J36" s="2">
        <v>0</v>
      </c>
      <c r="K36" s="43">
        <v>0</v>
      </c>
      <c r="L36" s="14">
        <f t="shared" si="1"/>
        <v>4</v>
      </c>
      <c r="M36" s="50" t="str">
        <f t="shared" si="2"/>
        <v>غير كاف</v>
      </c>
      <c r="N36" s="18"/>
    </row>
    <row r="37" spans="2:14" ht="16.5" thickTop="1" thickBot="1">
      <c r="B37" s="28">
        <f t="shared" si="3"/>
        <v>34</v>
      </c>
      <c r="C37" s="15"/>
      <c r="D37" s="15"/>
      <c r="E37" s="47">
        <v>5</v>
      </c>
      <c r="F37" s="14">
        <v>5</v>
      </c>
      <c r="G37" s="33">
        <v>5</v>
      </c>
      <c r="H37" s="16">
        <v>5</v>
      </c>
      <c r="I37" s="17">
        <f t="shared" si="0"/>
        <v>20</v>
      </c>
      <c r="J37" s="2">
        <v>0</v>
      </c>
      <c r="K37" s="43">
        <v>0</v>
      </c>
      <c r="L37" s="14">
        <f t="shared" si="1"/>
        <v>4</v>
      </c>
      <c r="M37" s="50" t="str">
        <f t="shared" si="2"/>
        <v>غير كاف</v>
      </c>
      <c r="N37" s="18"/>
    </row>
    <row r="38" spans="2:14" ht="16.5" thickTop="1" thickBot="1">
      <c r="B38" s="28">
        <f t="shared" si="3"/>
        <v>35</v>
      </c>
      <c r="C38" s="15"/>
      <c r="D38" s="15"/>
      <c r="E38" s="47">
        <v>5</v>
      </c>
      <c r="F38" s="14">
        <v>5</v>
      </c>
      <c r="G38" s="33">
        <v>5</v>
      </c>
      <c r="H38" s="16">
        <v>5</v>
      </c>
      <c r="I38" s="17">
        <f t="shared" si="0"/>
        <v>20</v>
      </c>
      <c r="J38" s="2">
        <v>0</v>
      </c>
      <c r="K38" s="43">
        <v>0</v>
      </c>
      <c r="L38" s="14">
        <f t="shared" si="1"/>
        <v>4</v>
      </c>
      <c r="M38" s="50" t="str">
        <f t="shared" si="2"/>
        <v>غير كاف</v>
      </c>
      <c r="N38" s="18"/>
    </row>
    <row r="39" spans="2:14" ht="16.5" thickTop="1" thickBot="1">
      <c r="B39" s="28">
        <f t="shared" si="3"/>
        <v>36</v>
      </c>
      <c r="C39" s="15"/>
      <c r="D39" s="15"/>
      <c r="E39" s="47">
        <v>5</v>
      </c>
      <c r="F39" s="14">
        <v>5</v>
      </c>
      <c r="G39" s="33">
        <v>5</v>
      </c>
      <c r="H39" s="16">
        <v>5</v>
      </c>
      <c r="I39" s="17">
        <f t="shared" si="0"/>
        <v>20</v>
      </c>
      <c r="J39" s="2">
        <v>0</v>
      </c>
      <c r="K39" s="43">
        <v>0</v>
      </c>
      <c r="L39" s="14">
        <f t="shared" si="1"/>
        <v>4</v>
      </c>
      <c r="M39" s="50" t="str">
        <f t="shared" si="2"/>
        <v>غير كاف</v>
      </c>
      <c r="N39" s="18"/>
    </row>
    <row r="40" spans="2:14" ht="16.5" thickTop="1" thickBot="1">
      <c r="B40" s="28">
        <f t="shared" si="3"/>
        <v>37</v>
      </c>
      <c r="C40" s="15"/>
      <c r="D40" s="15"/>
      <c r="E40" s="47">
        <v>5</v>
      </c>
      <c r="F40" s="14">
        <v>5</v>
      </c>
      <c r="G40" s="33">
        <v>5</v>
      </c>
      <c r="H40" s="16">
        <v>5</v>
      </c>
      <c r="I40" s="17">
        <f t="shared" si="0"/>
        <v>20</v>
      </c>
      <c r="J40" s="2">
        <v>0</v>
      </c>
      <c r="K40" s="43">
        <v>0</v>
      </c>
      <c r="L40" s="14">
        <f t="shared" si="1"/>
        <v>4</v>
      </c>
      <c r="M40" s="50" t="str">
        <f t="shared" si="2"/>
        <v>غير كاف</v>
      </c>
      <c r="N40" s="18"/>
    </row>
    <row r="41" spans="2:14" ht="16.5" thickTop="1" thickBot="1">
      <c r="B41" s="28">
        <f t="shared" si="3"/>
        <v>38</v>
      </c>
      <c r="C41" s="15"/>
      <c r="D41" s="15"/>
      <c r="E41" s="47">
        <v>5</v>
      </c>
      <c r="F41" s="14">
        <v>5</v>
      </c>
      <c r="G41" s="33">
        <v>5</v>
      </c>
      <c r="H41" s="16">
        <v>5</v>
      </c>
      <c r="I41" s="17">
        <f t="shared" si="0"/>
        <v>20</v>
      </c>
      <c r="J41" s="2">
        <v>0</v>
      </c>
      <c r="K41" s="43">
        <v>0</v>
      </c>
      <c r="L41" s="14">
        <f t="shared" si="1"/>
        <v>4</v>
      </c>
      <c r="M41" s="50" t="str">
        <f t="shared" si="2"/>
        <v>غير كاف</v>
      </c>
      <c r="N41" s="18"/>
    </row>
    <row r="42" spans="2:14" ht="15.75" thickTop="1">
      <c r="B42" s="70">
        <f t="shared" si="3"/>
        <v>39</v>
      </c>
      <c r="C42" s="68"/>
      <c r="D42" s="68"/>
      <c r="E42" s="47">
        <v>5</v>
      </c>
      <c r="F42" s="72">
        <v>5</v>
      </c>
      <c r="G42" s="72">
        <v>5</v>
      </c>
      <c r="H42" s="71">
        <v>5</v>
      </c>
      <c r="I42" s="17">
        <f t="shared" si="0"/>
        <v>20</v>
      </c>
      <c r="J42" s="2">
        <v>0</v>
      </c>
      <c r="K42" s="43">
        <v>0</v>
      </c>
      <c r="L42" s="14">
        <f t="shared" si="1"/>
        <v>4</v>
      </c>
      <c r="M42" s="50" t="str">
        <f t="shared" si="2"/>
        <v>غير كاف</v>
      </c>
      <c r="N42" s="18"/>
    </row>
    <row r="43" spans="2:14">
      <c r="B43" s="1"/>
      <c r="N43" s="69"/>
    </row>
    <row r="44" spans="2:14">
      <c r="E44" s="10"/>
      <c r="F44" s="10"/>
      <c r="G44" s="10"/>
      <c r="H44" s="10"/>
      <c r="I44" s="11"/>
      <c r="J44" s="12"/>
      <c r="K44" s="10"/>
      <c r="L44" s="10"/>
      <c r="M44" s="13"/>
      <c r="N44" s="13"/>
    </row>
  </sheetData>
  <pageMargins left="0.25" right="0.25" top="0.75" bottom="0.75" header="0.3" footer="0.3"/>
  <pageSetup paperSize="9" scale="7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4"/>
  <sheetViews>
    <sheetView rightToLeft="1" topLeftCell="A23" workbookViewId="0">
      <selection activeCell="Q39" sqref="Q39"/>
    </sheetView>
  </sheetViews>
  <sheetFormatPr baseColWidth="10" defaultColWidth="9.140625" defaultRowHeight="15"/>
  <cols>
    <col min="2" max="2" width="4.7109375" customWidth="1"/>
    <col min="3" max="3" width="9.140625" customWidth="1"/>
    <col min="4" max="4" width="12.28515625" customWidth="1"/>
    <col min="5" max="5" width="7.28515625" customWidth="1"/>
    <col min="6" max="6" width="7.140625" customWidth="1"/>
    <col min="7" max="7" width="7.42578125" customWidth="1"/>
    <col min="8" max="8" width="7.5703125" customWidth="1"/>
    <col min="9" max="9" width="7.42578125" customWidth="1"/>
    <col min="10" max="10" width="5.85546875" customWidth="1"/>
    <col min="11" max="11" width="6.42578125" customWidth="1"/>
    <col min="12" max="12" width="6.85546875" customWidth="1"/>
    <col min="13" max="14" width="10.42578125" customWidth="1"/>
    <col min="15" max="15" width="9.7109375" customWidth="1"/>
  </cols>
  <sheetData>
    <row r="2" spans="2:16" ht="63.75" customHeight="1" thickBot="1">
      <c r="C2" s="48" t="s">
        <v>22</v>
      </c>
      <c r="N2" s="51"/>
    </row>
    <row r="3" spans="2:16" ht="31.5" thickTop="1" thickBot="1">
      <c r="B3" s="29" t="s">
        <v>11</v>
      </c>
      <c r="C3" s="31" t="s">
        <v>0</v>
      </c>
      <c r="D3" s="32" t="s">
        <v>1</v>
      </c>
      <c r="E3" s="37" t="s">
        <v>13</v>
      </c>
      <c r="F3" s="38" t="s">
        <v>14</v>
      </c>
      <c r="G3" s="39" t="s">
        <v>16</v>
      </c>
      <c r="H3" s="40" t="s">
        <v>15</v>
      </c>
      <c r="I3" s="52" t="s">
        <v>12</v>
      </c>
      <c r="J3" s="53" t="s">
        <v>2</v>
      </c>
      <c r="K3" s="54" t="s">
        <v>3</v>
      </c>
      <c r="L3" s="49" t="s">
        <v>4</v>
      </c>
      <c r="M3" s="55" t="s">
        <v>5</v>
      </c>
      <c r="N3" s="56" t="s">
        <v>18</v>
      </c>
      <c r="O3" s="1"/>
    </row>
    <row r="4" spans="2:16" ht="16.5" thickTop="1" thickBot="1">
      <c r="B4" s="30">
        <v>1</v>
      </c>
      <c r="C4" s="15"/>
      <c r="D4" s="15"/>
      <c r="E4" s="44">
        <v>5</v>
      </c>
      <c r="F4" s="46">
        <v>5</v>
      </c>
      <c r="G4" s="34">
        <v>5</v>
      </c>
      <c r="H4" s="45">
        <v>5</v>
      </c>
      <c r="I4" s="35">
        <f t="shared" ref="I4:I42" si="0">SUM(E4:H4)</f>
        <v>20</v>
      </c>
      <c r="J4" s="36">
        <v>0</v>
      </c>
      <c r="K4" s="42">
        <v>0</v>
      </c>
      <c r="L4" s="41">
        <f>(J4+I4+K4*3)/5</f>
        <v>4</v>
      </c>
      <c r="M4" s="50" t="str">
        <f>IF(L4&gt;=17, "عمل ممتاز",
 IF(L4&gt;=16, "جيد جدا",
IF(L4&gt;=14, "نتائج جيدة",
IF(L4&gt;=12, "نتائج حسنة",
IF(L4&gt;=10, "نتائج متوسطة",
IF(L4&gt;=9, "دون المتوسط",
IF(L4&gt;=0, "غير كاف" )))))))</f>
        <v>غير كاف</v>
      </c>
      <c r="N4" s="57"/>
      <c r="O4" s="20" t="s">
        <v>6</v>
      </c>
      <c r="P4" s="19"/>
    </row>
    <row r="5" spans="2:16" ht="16.5" thickTop="1" thickBot="1">
      <c r="B5" s="28">
        <f>B4+1</f>
        <v>2</v>
      </c>
      <c r="C5" s="15"/>
      <c r="D5" s="15"/>
      <c r="E5" s="47">
        <v>5</v>
      </c>
      <c r="F5" s="14">
        <v>5</v>
      </c>
      <c r="G5" s="33">
        <v>5</v>
      </c>
      <c r="H5" s="16">
        <v>5</v>
      </c>
      <c r="I5" s="17">
        <f t="shared" si="0"/>
        <v>20</v>
      </c>
      <c r="J5" s="2">
        <v>0</v>
      </c>
      <c r="K5" s="43">
        <v>0</v>
      </c>
      <c r="L5" s="14">
        <f t="shared" ref="L5:L42" si="1">(J5+I5+K5*3)/5</f>
        <v>4</v>
      </c>
      <c r="M5" s="50" t="str">
        <f t="shared" ref="M5:M42" si="2">IF(L5&gt;=17, "عمل ممتاز",
 IF(L5&gt;=16, "جيد جدا",
IF(L5&gt;=14, "نتائج جيدة",
IF(L5&gt;=12, "نتائج حسنة",
IF(L5&gt;=10, "نتائج متوسطة",
IF(L5&gt;=9, "دون المتوسط",
IF(L5&gt;=0, "غير كاف" )))))))</f>
        <v>غير كاف</v>
      </c>
      <c r="N5" s="18"/>
      <c r="O5" s="21">
        <f>MAX(L:L)</f>
        <v>4</v>
      </c>
      <c r="P5" s="19"/>
    </row>
    <row r="6" spans="2:16" ht="16.5" thickTop="1" thickBot="1">
      <c r="B6" s="28">
        <f t="shared" ref="B6:B42" si="3">B5+1</f>
        <v>3</v>
      </c>
      <c r="C6" s="15"/>
      <c r="D6" s="15"/>
      <c r="E6" s="47">
        <v>5</v>
      </c>
      <c r="F6" s="14">
        <v>5</v>
      </c>
      <c r="G6" s="33">
        <v>5</v>
      </c>
      <c r="H6" s="16">
        <v>5</v>
      </c>
      <c r="I6" s="17">
        <f t="shared" si="0"/>
        <v>20</v>
      </c>
      <c r="J6" s="2">
        <v>0</v>
      </c>
      <c r="K6" s="43">
        <v>0</v>
      </c>
      <c r="L6" s="14">
        <f t="shared" si="1"/>
        <v>4</v>
      </c>
      <c r="M6" s="50" t="str">
        <f t="shared" si="2"/>
        <v>غير كاف</v>
      </c>
      <c r="N6" s="18"/>
      <c r="O6" s="3"/>
    </row>
    <row r="7" spans="2:16" ht="16.5" thickTop="1" thickBot="1">
      <c r="B7" s="28">
        <f t="shared" si="3"/>
        <v>4</v>
      </c>
      <c r="C7" s="15"/>
      <c r="D7" s="15"/>
      <c r="E7" s="47">
        <v>5</v>
      </c>
      <c r="F7" s="14">
        <v>5</v>
      </c>
      <c r="G7" s="33">
        <v>5</v>
      </c>
      <c r="H7" s="16">
        <v>5</v>
      </c>
      <c r="I7" s="17">
        <f t="shared" si="0"/>
        <v>20</v>
      </c>
      <c r="J7" s="2">
        <v>0</v>
      </c>
      <c r="K7" s="43">
        <v>0</v>
      </c>
      <c r="L7" s="14">
        <f t="shared" si="1"/>
        <v>4</v>
      </c>
      <c r="M7" s="50" t="str">
        <f t="shared" si="2"/>
        <v>غير كاف</v>
      </c>
      <c r="N7" s="18"/>
      <c r="O7" s="22" t="s">
        <v>7</v>
      </c>
    </row>
    <row r="8" spans="2:16" ht="16.5" thickTop="1" thickBot="1">
      <c r="B8" s="28">
        <f t="shared" si="3"/>
        <v>5</v>
      </c>
      <c r="C8" s="15"/>
      <c r="D8" s="15"/>
      <c r="E8" s="47">
        <v>5</v>
      </c>
      <c r="F8" s="14">
        <v>5</v>
      </c>
      <c r="G8" s="33">
        <v>5</v>
      </c>
      <c r="H8" s="16">
        <v>5</v>
      </c>
      <c r="I8" s="17">
        <f t="shared" si="0"/>
        <v>20</v>
      </c>
      <c r="J8" s="2">
        <v>0</v>
      </c>
      <c r="K8" s="43">
        <v>0</v>
      </c>
      <c r="L8" s="14">
        <f t="shared" si="1"/>
        <v>4</v>
      </c>
      <c r="M8" s="50" t="str">
        <f t="shared" si="2"/>
        <v>غير كاف</v>
      </c>
      <c r="N8" s="18"/>
      <c r="O8" s="23">
        <f>MIN(L:L)</f>
        <v>4</v>
      </c>
      <c r="P8" s="19"/>
    </row>
    <row r="9" spans="2:16" ht="16.5" thickTop="1" thickBot="1">
      <c r="B9" s="28">
        <f t="shared" si="3"/>
        <v>6</v>
      </c>
      <c r="C9" s="15"/>
      <c r="D9" s="15"/>
      <c r="E9" s="47">
        <v>5</v>
      </c>
      <c r="F9" s="14">
        <v>5</v>
      </c>
      <c r="G9" s="33">
        <v>5</v>
      </c>
      <c r="H9" s="16">
        <v>5</v>
      </c>
      <c r="I9" s="17">
        <f t="shared" si="0"/>
        <v>20</v>
      </c>
      <c r="J9" s="2">
        <v>0</v>
      </c>
      <c r="K9" s="43">
        <v>0</v>
      </c>
      <c r="L9" s="14">
        <f t="shared" si="1"/>
        <v>4</v>
      </c>
      <c r="M9" s="50" t="str">
        <f t="shared" si="2"/>
        <v>غير كاف</v>
      </c>
      <c r="N9" s="18"/>
      <c r="O9" s="24"/>
    </row>
    <row r="10" spans="2:16" ht="16.5" thickTop="1" thickBot="1">
      <c r="B10" s="28">
        <f t="shared" si="3"/>
        <v>7</v>
      </c>
      <c r="C10" s="15"/>
      <c r="D10" s="15"/>
      <c r="E10" s="47">
        <v>5</v>
      </c>
      <c r="F10" s="14">
        <v>5</v>
      </c>
      <c r="G10" s="33">
        <v>5</v>
      </c>
      <c r="H10" s="16">
        <v>5</v>
      </c>
      <c r="I10" s="17">
        <f t="shared" si="0"/>
        <v>20</v>
      </c>
      <c r="J10" s="2">
        <v>0</v>
      </c>
      <c r="K10" s="43">
        <v>0</v>
      </c>
      <c r="L10" s="14">
        <f t="shared" si="1"/>
        <v>4</v>
      </c>
      <c r="M10" s="50" t="str">
        <f t="shared" si="2"/>
        <v>غير كاف</v>
      </c>
      <c r="N10" s="18"/>
      <c r="O10" s="4"/>
    </row>
    <row r="11" spans="2:16" ht="16.5" thickTop="1" thickBot="1">
      <c r="B11" s="28">
        <f t="shared" si="3"/>
        <v>8</v>
      </c>
      <c r="C11" s="15"/>
      <c r="D11" s="15"/>
      <c r="E11" s="47">
        <v>5</v>
      </c>
      <c r="F11" s="14">
        <v>5</v>
      </c>
      <c r="G11" s="33">
        <v>5</v>
      </c>
      <c r="H11" s="16">
        <v>5</v>
      </c>
      <c r="I11" s="17">
        <f t="shared" si="0"/>
        <v>20</v>
      </c>
      <c r="J11" s="2">
        <v>0</v>
      </c>
      <c r="K11" s="43">
        <v>0</v>
      </c>
      <c r="L11" s="14">
        <f t="shared" si="1"/>
        <v>4</v>
      </c>
      <c r="M11" s="50" t="str">
        <f t="shared" si="2"/>
        <v>غير كاف</v>
      </c>
      <c r="N11" s="18"/>
      <c r="O11" s="25" t="s">
        <v>8</v>
      </c>
    </row>
    <row r="12" spans="2:16" ht="16.5" thickTop="1" thickBot="1">
      <c r="B12" s="28">
        <f t="shared" si="3"/>
        <v>9</v>
      </c>
      <c r="C12" s="15"/>
      <c r="D12" s="15"/>
      <c r="E12" s="47">
        <v>5</v>
      </c>
      <c r="F12" s="14">
        <v>5</v>
      </c>
      <c r="G12" s="33">
        <v>5</v>
      </c>
      <c r="H12" s="16">
        <v>5</v>
      </c>
      <c r="I12" s="17">
        <f t="shared" si="0"/>
        <v>20</v>
      </c>
      <c r="J12" s="2">
        <v>0</v>
      </c>
      <c r="K12" s="43">
        <v>0</v>
      </c>
      <c r="L12" s="14">
        <f t="shared" si="1"/>
        <v>4</v>
      </c>
      <c r="M12" s="50" t="str">
        <f t="shared" si="2"/>
        <v>غير كاف</v>
      </c>
      <c r="N12" s="18"/>
      <c r="O12" s="26">
        <f>AVERAGE(L:L)</f>
        <v>4</v>
      </c>
    </row>
    <row r="13" spans="2:16" ht="16.5" thickTop="1" thickBot="1">
      <c r="B13" s="28">
        <f t="shared" si="3"/>
        <v>10</v>
      </c>
      <c r="C13" s="15"/>
      <c r="D13" s="15"/>
      <c r="E13" s="47">
        <v>5</v>
      </c>
      <c r="F13" s="14">
        <v>5</v>
      </c>
      <c r="G13" s="33">
        <v>5</v>
      </c>
      <c r="H13" s="16">
        <v>5</v>
      </c>
      <c r="I13" s="17">
        <f t="shared" si="0"/>
        <v>20</v>
      </c>
      <c r="J13" s="2">
        <v>0</v>
      </c>
      <c r="K13" s="43">
        <v>0</v>
      </c>
      <c r="L13" s="14">
        <f t="shared" si="1"/>
        <v>4</v>
      </c>
      <c r="M13" s="50" t="str">
        <f t="shared" si="2"/>
        <v>غير كاف</v>
      </c>
      <c r="N13" s="18"/>
      <c r="O13" s="27"/>
    </row>
    <row r="14" spans="2:16" ht="16.5" thickTop="1" thickBot="1">
      <c r="B14" s="28">
        <f t="shared" si="3"/>
        <v>11</v>
      </c>
      <c r="C14" s="15"/>
      <c r="D14" s="15"/>
      <c r="E14" s="47">
        <v>5</v>
      </c>
      <c r="F14" s="14">
        <v>5</v>
      </c>
      <c r="G14" s="33">
        <v>5</v>
      </c>
      <c r="H14" s="16">
        <v>5</v>
      </c>
      <c r="I14" s="17">
        <f t="shared" si="0"/>
        <v>20</v>
      </c>
      <c r="J14" s="2">
        <v>0</v>
      </c>
      <c r="K14" s="43">
        <v>0</v>
      </c>
      <c r="L14" s="14">
        <f t="shared" si="1"/>
        <v>4</v>
      </c>
      <c r="M14" s="50" t="str">
        <f t="shared" si="2"/>
        <v>غير كاف</v>
      </c>
      <c r="N14" s="18"/>
      <c r="O14" s="1"/>
    </row>
    <row r="15" spans="2:16" ht="16.5" thickTop="1" thickBot="1">
      <c r="B15" s="28">
        <f t="shared" si="3"/>
        <v>12</v>
      </c>
      <c r="C15" s="15"/>
      <c r="D15" s="15"/>
      <c r="E15" s="47">
        <v>5</v>
      </c>
      <c r="F15" s="14">
        <v>5</v>
      </c>
      <c r="G15" s="33">
        <v>5</v>
      </c>
      <c r="H15" s="16">
        <v>5</v>
      </c>
      <c r="I15" s="17">
        <f t="shared" si="0"/>
        <v>20</v>
      </c>
      <c r="J15" s="2">
        <v>0</v>
      </c>
      <c r="K15" s="43">
        <v>0</v>
      </c>
      <c r="L15" s="14">
        <f t="shared" si="1"/>
        <v>4</v>
      </c>
      <c r="M15" s="50" t="str">
        <f t="shared" si="2"/>
        <v>غير كاف</v>
      </c>
      <c r="N15" s="18"/>
      <c r="O15" s="1"/>
    </row>
    <row r="16" spans="2:16" ht="16.5" thickTop="1" thickBot="1">
      <c r="B16" s="28">
        <f t="shared" si="3"/>
        <v>13</v>
      </c>
      <c r="C16" s="15"/>
      <c r="D16" s="15"/>
      <c r="E16" s="47">
        <v>5</v>
      </c>
      <c r="F16" s="14">
        <v>5</v>
      </c>
      <c r="G16" s="33">
        <v>5</v>
      </c>
      <c r="H16" s="16">
        <v>5</v>
      </c>
      <c r="I16" s="17">
        <f t="shared" si="0"/>
        <v>20</v>
      </c>
      <c r="J16" s="2">
        <v>0</v>
      </c>
      <c r="K16" s="43">
        <v>0</v>
      </c>
      <c r="L16" s="14">
        <f t="shared" si="1"/>
        <v>4</v>
      </c>
      <c r="M16" s="50" t="str">
        <f t="shared" si="2"/>
        <v>غير كاف</v>
      </c>
      <c r="N16" s="18"/>
      <c r="O16" s="1"/>
    </row>
    <row r="17" spans="2:15" ht="16.5" thickTop="1" thickBot="1">
      <c r="B17" s="28">
        <f t="shared" si="3"/>
        <v>14</v>
      </c>
      <c r="C17" s="15"/>
      <c r="D17" s="15"/>
      <c r="E17" s="47">
        <v>5</v>
      </c>
      <c r="F17" s="14">
        <v>5</v>
      </c>
      <c r="G17" s="33">
        <v>5</v>
      </c>
      <c r="H17" s="16">
        <v>5</v>
      </c>
      <c r="I17" s="17">
        <f t="shared" si="0"/>
        <v>20</v>
      </c>
      <c r="J17" s="2">
        <v>0</v>
      </c>
      <c r="K17" s="43">
        <v>0</v>
      </c>
      <c r="L17" s="14">
        <f t="shared" si="1"/>
        <v>4</v>
      </c>
      <c r="M17" s="50" t="str">
        <f t="shared" si="2"/>
        <v>غير كاف</v>
      </c>
      <c r="N17" s="18"/>
      <c r="O17" s="1"/>
    </row>
    <row r="18" spans="2:15" ht="17.25" thickTop="1" thickBot="1">
      <c r="B18" s="28">
        <f t="shared" si="3"/>
        <v>15</v>
      </c>
      <c r="C18" s="15"/>
      <c r="D18" s="15"/>
      <c r="E18" s="47">
        <v>5</v>
      </c>
      <c r="F18" s="14">
        <v>5</v>
      </c>
      <c r="G18" s="33">
        <v>5</v>
      </c>
      <c r="H18" s="16">
        <v>5</v>
      </c>
      <c r="I18" s="17">
        <f t="shared" si="0"/>
        <v>20</v>
      </c>
      <c r="J18" s="2">
        <v>0</v>
      </c>
      <c r="K18" s="43">
        <v>0</v>
      </c>
      <c r="L18" s="14">
        <f t="shared" si="1"/>
        <v>4</v>
      </c>
      <c r="M18" s="50" t="str">
        <f t="shared" si="2"/>
        <v>غير كاف</v>
      </c>
      <c r="N18" s="18"/>
      <c r="O18" s="5" t="s">
        <v>9</v>
      </c>
    </row>
    <row r="19" spans="2:15" ht="17.25" thickTop="1" thickBot="1">
      <c r="B19" s="28">
        <f t="shared" si="3"/>
        <v>16</v>
      </c>
      <c r="C19" s="15"/>
      <c r="D19" s="15"/>
      <c r="E19" s="47">
        <v>5</v>
      </c>
      <c r="F19" s="14">
        <v>5</v>
      </c>
      <c r="G19" s="33">
        <v>5</v>
      </c>
      <c r="H19" s="16">
        <v>5</v>
      </c>
      <c r="I19" s="17">
        <f t="shared" si="0"/>
        <v>20</v>
      </c>
      <c r="J19" s="2">
        <v>0</v>
      </c>
      <c r="K19" s="43">
        <v>0</v>
      </c>
      <c r="L19" s="14">
        <f t="shared" si="1"/>
        <v>4</v>
      </c>
      <c r="M19" s="50" t="str">
        <f t="shared" si="2"/>
        <v>غير كاف</v>
      </c>
      <c r="N19" s="18"/>
      <c r="O19" s="5">
        <f>COUNTIFS(L:L,"&lt;10",L:L,"&gt;=0")</f>
        <v>39</v>
      </c>
    </row>
    <row r="20" spans="2:15" ht="17.25" thickTop="1" thickBot="1">
      <c r="B20" s="28">
        <f t="shared" si="3"/>
        <v>17</v>
      </c>
      <c r="C20" s="15"/>
      <c r="D20" s="15"/>
      <c r="E20" s="47">
        <v>5</v>
      </c>
      <c r="F20" s="14">
        <v>5</v>
      </c>
      <c r="G20" s="33">
        <v>5</v>
      </c>
      <c r="H20" s="16">
        <v>5</v>
      </c>
      <c r="I20" s="17">
        <f t="shared" si="0"/>
        <v>20</v>
      </c>
      <c r="J20" s="2">
        <v>0</v>
      </c>
      <c r="K20" s="43">
        <v>0</v>
      </c>
      <c r="L20" s="14">
        <f t="shared" si="1"/>
        <v>4</v>
      </c>
      <c r="M20" s="50" t="str">
        <f t="shared" si="2"/>
        <v>غير كاف</v>
      </c>
      <c r="N20" s="18"/>
      <c r="O20" s="6">
        <f>O19/COUNT(L:L)</f>
        <v>1</v>
      </c>
    </row>
    <row r="21" spans="2:15" ht="16.5" thickTop="1" thickBot="1">
      <c r="B21" s="28">
        <f t="shared" si="3"/>
        <v>18</v>
      </c>
      <c r="C21" s="15"/>
      <c r="D21" s="15"/>
      <c r="E21" s="47">
        <v>5</v>
      </c>
      <c r="F21" s="14">
        <v>5</v>
      </c>
      <c r="G21" s="33">
        <v>5</v>
      </c>
      <c r="H21" s="16">
        <v>5</v>
      </c>
      <c r="I21" s="17">
        <f t="shared" si="0"/>
        <v>20</v>
      </c>
      <c r="J21" s="2">
        <v>0</v>
      </c>
      <c r="K21" s="43">
        <v>0</v>
      </c>
      <c r="L21" s="14">
        <f t="shared" si="1"/>
        <v>4</v>
      </c>
      <c r="M21" s="50" t="str">
        <f t="shared" si="2"/>
        <v>غير كاف</v>
      </c>
      <c r="N21" s="18"/>
      <c r="O21" s="1"/>
    </row>
    <row r="22" spans="2:15" ht="17.25" thickTop="1" thickBot="1">
      <c r="B22" s="28">
        <f t="shared" si="3"/>
        <v>19</v>
      </c>
      <c r="C22" s="15"/>
      <c r="D22" s="15"/>
      <c r="E22" s="47">
        <v>5</v>
      </c>
      <c r="F22" s="14">
        <v>5</v>
      </c>
      <c r="G22" s="33">
        <v>5</v>
      </c>
      <c r="H22" s="16">
        <v>5</v>
      </c>
      <c r="I22" s="17">
        <f t="shared" si="0"/>
        <v>20</v>
      </c>
      <c r="J22" s="2">
        <v>0</v>
      </c>
      <c r="K22" s="43">
        <v>0</v>
      </c>
      <c r="L22" s="14">
        <f t="shared" si="1"/>
        <v>4</v>
      </c>
      <c r="M22" s="50" t="str">
        <f t="shared" si="2"/>
        <v>غير كاف</v>
      </c>
      <c r="N22" s="18"/>
      <c r="O22" s="7" t="s">
        <v>10</v>
      </c>
    </row>
    <row r="23" spans="2:15" ht="17.25" thickTop="1" thickBot="1">
      <c r="B23" s="28">
        <f t="shared" si="3"/>
        <v>20</v>
      </c>
      <c r="C23" s="15"/>
      <c r="D23" s="15"/>
      <c r="E23" s="47">
        <v>5</v>
      </c>
      <c r="F23" s="14">
        <v>5</v>
      </c>
      <c r="G23" s="33">
        <v>5</v>
      </c>
      <c r="H23" s="16">
        <v>5</v>
      </c>
      <c r="I23" s="17">
        <f t="shared" si="0"/>
        <v>20</v>
      </c>
      <c r="J23" s="2">
        <v>0</v>
      </c>
      <c r="K23" s="43">
        <v>0</v>
      </c>
      <c r="L23" s="14">
        <f t="shared" si="1"/>
        <v>4</v>
      </c>
      <c r="M23" s="50" t="str">
        <f t="shared" si="2"/>
        <v>غير كاف</v>
      </c>
      <c r="N23" s="18"/>
      <c r="O23" s="8">
        <f>COUNTIFS(L:L,"&lt;=20",L:L,"&gt;=10")</f>
        <v>0</v>
      </c>
    </row>
    <row r="24" spans="2:15" ht="17.25" thickTop="1" thickBot="1">
      <c r="B24" s="28">
        <f t="shared" si="3"/>
        <v>21</v>
      </c>
      <c r="C24" s="15"/>
      <c r="D24" s="15"/>
      <c r="E24" s="47">
        <v>5</v>
      </c>
      <c r="F24" s="14">
        <v>5</v>
      </c>
      <c r="G24" s="33">
        <v>5</v>
      </c>
      <c r="H24" s="16">
        <v>5</v>
      </c>
      <c r="I24" s="17">
        <f t="shared" si="0"/>
        <v>20</v>
      </c>
      <c r="J24" s="2">
        <v>0</v>
      </c>
      <c r="K24" s="43">
        <v>0</v>
      </c>
      <c r="L24" s="14">
        <f t="shared" si="1"/>
        <v>4</v>
      </c>
      <c r="M24" s="50" t="str">
        <f t="shared" si="2"/>
        <v>غير كاف</v>
      </c>
      <c r="N24" s="18"/>
      <c r="O24" s="9">
        <f>O23/COUNT(L:L)</f>
        <v>0</v>
      </c>
    </row>
    <row r="25" spans="2:15" ht="16.5" thickTop="1" thickBot="1">
      <c r="B25" s="28">
        <f t="shared" si="3"/>
        <v>22</v>
      </c>
      <c r="C25" s="15"/>
      <c r="D25" s="15"/>
      <c r="E25" s="47">
        <v>5</v>
      </c>
      <c r="F25" s="14">
        <v>5</v>
      </c>
      <c r="G25" s="33">
        <v>5</v>
      </c>
      <c r="H25" s="16">
        <v>5</v>
      </c>
      <c r="I25" s="17">
        <f t="shared" si="0"/>
        <v>20</v>
      </c>
      <c r="J25" s="2">
        <v>0</v>
      </c>
      <c r="K25" s="43">
        <v>0</v>
      </c>
      <c r="L25" s="14">
        <f t="shared" si="1"/>
        <v>4</v>
      </c>
      <c r="M25" s="50" t="str">
        <f t="shared" si="2"/>
        <v>غير كاف</v>
      </c>
      <c r="N25" s="18"/>
      <c r="O25" s="1"/>
    </row>
    <row r="26" spans="2:15" ht="16.5" thickTop="1" thickBot="1">
      <c r="B26" s="28">
        <f t="shared" si="3"/>
        <v>23</v>
      </c>
      <c r="C26" s="15"/>
      <c r="D26" s="15"/>
      <c r="E26" s="47">
        <v>5</v>
      </c>
      <c r="F26" s="14">
        <v>5</v>
      </c>
      <c r="G26" s="33">
        <v>5</v>
      </c>
      <c r="H26" s="16">
        <v>5</v>
      </c>
      <c r="I26" s="17">
        <f t="shared" si="0"/>
        <v>20</v>
      </c>
      <c r="J26" s="2">
        <v>0</v>
      </c>
      <c r="K26" s="43">
        <v>0</v>
      </c>
      <c r="L26" s="14">
        <f t="shared" si="1"/>
        <v>4</v>
      </c>
      <c r="M26" s="50" t="str">
        <f t="shared" si="2"/>
        <v>غير كاف</v>
      </c>
      <c r="N26" s="18"/>
      <c r="O26" s="1"/>
    </row>
    <row r="27" spans="2:15" ht="16.5" thickTop="1" thickBot="1">
      <c r="B27" s="28">
        <f t="shared" si="3"/>
        <v>24</v>
      </c>
      <c r="C27" s="15"/>
      <c r="D27" s="15"/>
      <c r="E27" s="47">
        <v>5</v>
      </c>
      <c r="F27" s="14">
        <v>5</v>
      </c>
      <c r="G27" s="33">
        <v>5</v>
      </c>
      <c r="H27" s="16">
        <v>5</v>
      </c>
      <c r="I27" s="17">
        <f t="shared" si="0"/>
        <v>20</v>
      </c>
      <c r="J27" s="2">
        <v>0</v>
      </c>
      <c r="K27" s="43">
        <v>0</v>
      </c>
      <c r="L27" s="14">
        <f t="shared" si="1"/>
        <v>4</v>
      </c>
      <c r="M27" s="50" t="str">
        <f t="shared" si="2"/>
        <v>غير كاف</v>
      </c>
      <c r="N27" s="18"/>
      <c r="O27" s="1"/>
    </row>
    <row r="28" spans="2:15" ht="16.5" thickTop="1" thickBot="1">
      <c r="B28" s="28">
        <f t="shared" si="3"/>
        <v>25</v>
      </c>
      <c r="C28" s="15"/>
      <c r="D28" s="15"/>
      <c r="E28" s="47">
        <v>5</v>
      </c>
      <c r="F28" s="14">
        <v>5</v>
      </c>
      <c r="G28" s="33">
        <v>5</v>
      </c>
      <c r="H28" s="16">
        <v>5</v>
      </c>
      <c r="I28" s="17">
        <f t="shared" si="0"/>
        <v>20</v>
      </c>
      <c r="J28" s="2">
        <v>0</v>
      </c>
      <c r="K28" s="43">
        <v>0</v>
      </c>
      <c r="L28" s="14">
        <f t="shared" si="1"/>
        <v>4</v>
      </c>
      <c r="M28" s="50" t="str">
        <f t="shared" si="2"/>
        <v>غير كاف</v>
      </c>
      <c r="N28" s="18"/>
    </row>
    <row r="29" spans="2:15" ht="16.5" thickTop="1" thickBot="1">
      <c r="B29" s="28">
        <f t="shared" si="3"/>
        <v>26</v>
      </c>
      <c r="C29" s="15"/>
      <c r="D29" s="15"/>
      <c r="E29" s="47">
        <v>5</v>
      </c>
      <c r="F29" s="14">
        <v>5</v>
      </c>
      <c r="G29" s="33">
        <v>5</v>
      </c>
      <c r="H29" s="16">
        <v>5</v>
      </c>
      <c r="I29" s="17">
        <f t="shared" si="0"/>
        <v>20</v>
      </c>
      <c r="J29" s="2">
        <v>0</v>
      </c>
      <c r="K29" s="43">
        <v>0</v>
      </c>
      <c r="L29" s="14">
        <f t="shared" si="1"/>
        <v>4</v>
      </c>
      <c r="M29" s="50" t="str">
        <f t="shared" si="2"/>
        <v>غير كاف</v>
      </c>
      <c r="N29" s="18"/>
    </row>
    <row r="30" spans="2:15" ht="16.5" thickTop="1" thickBot="1">
      <c r="B30" s="28">
        <f t="shared" si="3"/>
        <v>27</v>
      </c>
      <c r="C30" s="15"/>
      <c r="D30" s="15"/>
      <c r="E30" s="47">
        <v>5</v>
      </c>
      <c r="F30" s="14">
        <v>5</v>
      </c>
      <c r="G30" s="33">
        <v>5</v>
      </c>
      <c r="H30" s="16">
        <v>5</v>
      </c>
      <c r="I30" s="17">
        <f t="shared" si="0"/>
        <v>20</v>
      </c>
      <c r="J30" s="2">
        <v>0</v>
      </c>
      <c r="K30" s="43">
        <v>0</v>
      </c>
      <c r="L30" s="14">
        <f t="shared" si="1"/>
        <v>4</v>
      </c>
      <c r="M30" s="50" t="str">
        <f t="shared" si="2"/>
        <v>غير كاف</v>
      </c>
      <c r="N30" s="18"/>
    </row>
    <row r="31" spans="2:15" ht="16.5" thickTop="1" thickBot="1">
      <c r="B31" s="28">
        <f t="shared" si="3"/>
        <v>28</v>
      </c>
      <c r="C31" s="15"/>
      <c r="D31" s="15"/>
      <c r="E31" s="47">
        <v>5</v>
      </c>
      <c r="F31" s="14">
        <v>5</v>
      </c>
      <c r="G31" s="33">
        <v>5</v>
      </c>
      <c r="H31" s="16">
        <v>5</v>
      </c>
      <c r="I31" s="17">
        <f t="shared" si="0"/>
        <v>20</v>
      </c>
      <c r="J31" s="2">
        <v>0</v>
      </c>
      <c r="K31" s="43">
        <v>0</v>
      </c>
      <c r="L31" s="14">
        <f t="shared" si="1"/>
        <v>4</v>
      </c>
      <c r="M31" s="50" t="str">
        <f t="shared" si="2"/>
        <v>غير كاف</v>
      </c>
      <c r="N31" s="18"/>
    </row>
    <row r="32" spans="2:15" ht="16.5" thickTop="1" thickBot="1">
      <c r="B32" s="28">
        <f t="shared" si="3"/>
        <v>29</v>
      </c>
      <c r="C32" s="15"/>
      <c r="D32" s="15"/>
      <c r="E32" s="47">
        <v>5</v>
      </c>
      <c r="F32" s="14">
        <v>5</v>
      </c>
      <c r="G32" s="33">
        <v>5</v>
      </c>
      <c r="H32" s="16">
        <v>5</v>
      </c>
      <c r="I32" s="17">
        <f t="shared" si="0"/>
        <v>20</v>
      </c>
      <c r="J32" s="2">
        <v>0</v>
      </c>
      <c r="K32" s="43">
        <v>0</v>
      </c>
      <c r="L32" s="14">
        <f t="shared" si="1"/>
        <v>4</v>
      </c>
      <c r="M32" s="50" t="str">
        <f t="shared" si="2"/>
        <v>غير كاف</v>
      </c>
      <c r="N32" s="18"/>
    </row>
    <row r="33" spans="2:14" ht="16.5" thickTop="1" thickBot="1">
      <c r="B33" s="28">
        <f t="shared" si="3"/>
        <v>30</v>
      </c>
      <c r="C33" s="15"/>
      <c r="D33" s="15"/>
      <c r="E33" s="47">
        <v>5</v>
      </c>
      <c r="F33" s="14">
        <v>5</v>
      </c>
      <c r="G33" s="33">
        <v>5</v>
      </c>
      <c r="H33" s="16">
        <v>5</v>
      </c>
      <c r="I33" s="17">
        <f t="shared" si="0"/>
        <v>20</v>
      </c>
      <c r="J33" s="2">
        <v>0</v>
      </c>
      <c r="K33" s="43">
        <v>0</v>
      </c>
      <c r="L33" s="14">
        <f t="shared" si="1"/>
        <v>4</v>
      </c>
      <c r="M33" s="50" t="str">
        <f t="shared" si="2"/>
        <v>غير كاف</v>
      </c>
      <c r="N33" s="18"/>
    </row>
    <row r="34" spans="2:14" ht="16.5" thickTop="1" thickBot="1">
      <c r="B34" s="28">
        <f t="shared" si="3"/>
        <v>31</v>
      </c>
      <c r="C34" s="15"/>
      <c r="D34" s="15"/>
      <c r="E34" s="47">
        <v>5</v>
      </c>
      <c r="F34" s="14">
        <v>5</v>
      </c>
      <c r="G34" s="33">
        <v>5</v>
      </c>
      <c r="H34" s="16">
        <v>5</v>
      </c>
      <c r="I34" s="17">
        <f t="shared" si="0"/>
        <v>20</v>
      </c>
      <c r="J34" s="2">
        <v>0</v>
      </c>
      <c r="K34" s="43">
        <v>0</v>
      </c>
      <c r="L34" s="14">
        <f t="shared" si="1"/>
        <v>4</v>
      </c>
      <c r="M34" s="50" t="str">
        <f t="shared" si="2"/>
        <v>غير كاف</v>
      </c>
      <c r="N34" s="18"/>
    </row>
    <row r="35" spans="2:14" ht="16.5" thickTop="1" thickBot="1">
      <c r="B35" s="28">
        <f t="shared" si="3"/>
        <v>32</v>
      </c>
      <c r="C35" s="15"/>
      <c r="D35" s="15"/>
      <c r="E35" s="47">
        <v>5</v>
      </c>
      <c r="F35" s="14">
        <v>5</v>
      </c>
      <c r="G35" s="33">
        <v>5</v>
      </c>
      <c r="H35" s="16">
        <v>5</v>
      </c>
      <c r="I35" s="17">
        <f t="shared" si="0"/>
        <v>20</v>
      </c>
      <c r="J35" s="2">
        <v>0</v>
      </c>
      <c r="K35" s="43">
        <v>0</v>
      </c>
      <c r="L35" s="14">
        <f t="shared" si="1"/>
        <v>4</v>
      </c>
      <c r="M35" s="50" t="str">
        <f t="shared" si="2"/>
        <v>غير كاف</v>
      </c>
      <c r="N35" s="18"/>
    </row>
    <row r="36" spans="2:14" ht="16.5" thickTop="1" thickBot="1">
      <c r="B36" s="28">
        <f t="shared" si="3"/>
        <v>33</v>
      </c>
      <c r="C36" s="15"/>
      <c r="D36" s="15"/>
      <c r="E36" s="47">
        <v>5</v>
      </c>
      <c r="F36" s="14">
        <v>5</v>
      </c>
      <c r="G36" s="33">
        <v>5</v>
      </c>
      <c r="H36" s="16">
        <v>5</v>
      </c>
      <c r="I36" s="17">
        <f t="shared" si="0"/>
        <v>20</v>
      </c>
      <c r="J36" s="2">
        <v>0</v>
      </c>
      <c r="K36" s="43">
        <v>0</v>
      </c>
      <c r="L36" s="14">
        <f t="shared" si="1"/>
        <v>4</v>
      </c>
      <c r="M36" s="50" t="str">
        <f t="shared" si="2"/>
        <v>غير كاف</v>
      </c>
      <c r="N36" s="18"/>
    </row>
    <row r="37" spans="2:14" ht="16.5" thickTop="1" thickBot="1">
      <c r="B37" s="28">
        <f t="shared" si="3"/>
        <v>34</v>
      </c>
      <c r="C37" s="15"/>
      <c r="D37" s="15"/>
      <c r="E37" s="47">
        <v>5</v>
      </c>
      <c r="F37" s="14">
        <v>5</v>
      </c>
      <c r="G37" s="33">
        <v>5</v>
      </c>
      <c r="H37" s="16">
        <v>5</v>
      </c>
      <c r="I37" s="17">
        <f t="shared" si="0"/>
        <v>20</v>
      </c>
      <c r="J37" s="2">
        <v>0</v>
      </c>
      <c r="K37" s="43">
        <v>0</v>
      </c>
      <c r="L37" s="14">
        <f t="shared" si="1"/>
        <v>4</v>
      </c>
      <c r="M37" s="50" t="str">
        <f t="shared" si="2"/>
        <v>غير كاف</v>
      </c>
      <c r="N37" s="18"/>
    </row>
    <row r="38" spans="2:14" ht="16.5" thickTop="1" thickBot="1">
      <c r="B38" s="28">
        <f t="shared" si="3"/>
        <v>35</v>
      </c>
      <c r="C38" s="15"/>
      <c r="D38" s="15"/>
      <c r="E38" s="47">
        <v>5</v>
      </c>
      <c r="F38" s="14">
        <v>5</v>
      </c>
      <c r="G38" s="33">
        <v>5</v>
      </c>
      <c r="H38" s="16">
        <v>5</v>
      </c>
      <c r="I38" s="17">
        <f t="shared" si="0"/>
        <v>20</v>
      </c>
      <c r="J38" s="2">
        <v>0</v>
      </c>
      <c r="K38" s="43">
        <v>0</v>
      </c>
      <c r="L38" s="14">
        <f t="shared" si="1"/>
        <v>4</v>
      </c>
      <c r="M38" s="50" t="str">
        <f t="shared" si="2"/>
        <v>غير كاف</v>
      </c>
      <c r="N38" s="18"/>
    </row>
    <row r="39" spans="2:14" ht="16.5" thickTop="1" thickBot="1">
      <c r="B39" s="28">
        <f t="shared" si="3"/>
        <v>36</v>
      </c>
      <c r="C39" s="15"/>
      <c r="D39" s="15"/>
      <c r="E39" s="47">
        <v>5</v>
      </c>
      <c r="F39" s="14">
        <v>5</v>
      </c>
      <c r="G39" s="33">
        <v>5</v>
      </c>
      <c r="H39" s="16">
        <v>5</v>
      </c>
      <c r="I39" s="17">
        <f t="shared" si="0"/>
        <v>20</v>
      </c>
      <c r="J39" s="2">
        <v>0</v>
      </c>
      <c r="K39" s="43">
        <v>0</v>
      </c>
      <c r="L39" s="14">
        <f t="shared" si="1"/>
        <v>4</v>
      </c>
      <c r="M39" s="50" t="str">
        <f t="shared" si="2"/>
        <v>غير كاف</v>
      </c>
      <c r="N39" s="18"/>
    </row>
    <row r="40" spans="2:14" ht="16.5" thickTop="1" thickBot="1">
      <c r="B40" s="28">
        <f t="shared" si="3"/>
        <v>37</v>
      </c>
      <c r="C40" s="15"/>
      <c r="D40" s="15"/>
      <c r="E40" s="47">
        <v>5</v>
      </c>
      <c r="F40" s="14">
        <v>5</v>
      </c>
      <c r="G40" s="33">
        <v>5</v>
      </c>
      <c r="H40" s="16">
        <v>5</v>
      </c>
      <c r="I40" s="17">
        <f t="shared" si="0"/>
        <v>20</v>
      </c>
      <c r="J40" s="2">
        <v>0</v>
      </c>
      <c r="K40" s="43">
        <v>0</v>
      </c>
      <c r="L40" s="14">
        <f t="shared" si="1"/>
        <v>4</v>
      </c>
      <c r="M40" s="50" t="str">
        <f t="shared" si="2"/>
        <v>غير كاف</v>
      </c>
      <c r="N40" s="18"/>
    </row>
    <row r="41" spans="2:14" ht="16.5" thickTop="1" thickBot="1">
      <c r="B41" s="28">
        <f t="shared" si="3"/>
        <v>38</v>
      </c>
      <c r="C41" s="15"/>
      <c r="D41" s="15"/>
      <c r="E41" s="47">
        <v>5</v>
      </c>
      <c r="F41" s="14">
        <v>5</v>
      </c>
      <c r="G41" s="33">
        <v>5</v>
      </c>
      <c r="H41" s="16">
        <v>5</v>
      </c>
      <c r="I41" s="17">
        <f t="shared" si="0"/>
        <v>20</v>
      </c>
      <c r="J41" s="2">
        <v>0</v>
      </c>
      <c r="K41" s="43">
        <v>0</v>
      </c>
      <c r="L41" s="14">
        <f t="shared" si="1"/>
        <v>4</v>
      </c>
      <c r="M41" s="50" t="str">
        <f t="shared" si="2"/>
        <v>غير كاف</v>
      </c>
      <c r="N41" s="18"/>
    </row>
    <row r="42" spans="2:14" ht="15.75" thickTop="1">
      <c r="B42" s="28">
        <f t="shared" si="3"/>
        <v>39</v>
      </c>
      <c r="C42" s="68"/>
      <c r="D42" s="68"/>
      <c r="E42" s="47">
        <v>5</v>
      </c>
      <c r="F42" s="14">
        <v>5</v>
      </c>
      <c r="G42" s="33">
        <v>5</v>
      </c>
      <c r="H42" s="16">
        <v>5</v>
      </c>
      <c r="I42" s="17">
        <f t="shared" ref="I42" si="4">SUM(E42:H42)</f>
        <v>20</v>
      </c>
      <c r="J42" s="2">
        <v>0</v>
      </c>
      <c r="K42" s="43">
        <v>0</v>
      </c>
      <c r="L42" s="14">
        <f t="shared" ref="L42" si="5">(J42+I42+K42*3)/5</f>
        <v>4</v>
      </c>
      <c r="M42" s="50" t="str">
        <f t="shared" si="2"/>
        <v>غير كاف</v>
      </c>
      <c r="N42" s="18"/>
    </row>
    <row r="43" spans="2:14">
      <c r="B43" s="1"/>
      <c r="N43" s="69"/>
    </row>
    <row r="44" spans="2:14">
      <c r="E44" s="10"/>
      <c r="F44" s="10"/>
      <c r="G44" s="10"/>
      <c r="H44" s="10"/>
      <c r="I44" s="11"/>
      <c r="J44" s="12"/>
      <c r="K44" s="10"/>
      <c r="L44" s="10"/>
      <c r="M44" s="13"/>
      <c r="N44" s="13"/>
    </row>
  </sheetData>
  <pageMargins left="0.25" right="0.25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1م1 </vt:lpstr>
      <vt:lpstr>1م2  </vt:lpstr>
      <vt:lpstr>1م3   </vt:lpstr>
      <vt:lpstr>1م4 </vt:lpstr>
      <vt:lpstr>1م5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2023-09-26T09:08:14Z</dcterms:modified>
</cp:coreProperties>
</file>