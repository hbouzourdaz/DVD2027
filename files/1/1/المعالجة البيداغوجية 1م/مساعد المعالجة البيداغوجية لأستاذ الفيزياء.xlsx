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1A3FF791-54E9-4987-8AEC-785A34F91743}" xr6:coauthVersionLast="47" xr6:coauthVersionMax="47" xr10:uidLastSave="{00000000-0000-0000-0000-000000000000}"/>
  <workbookProtection workbookAlgorithmName="SHA-512" workbookHashValue="TPLcOKrwSa4z0jV7CxWCTN/w/Np4pRElYICe6Tz2mslx24YKdpH6Kl9WyuMqy27ORYliPSvtSI/od1nf7V1ICw==" workbookSaltValue="Ll0JHf0wmjVnKvUkSH0SQg==" workbookSpinCount="100000" lockStructure="1"/>
  <bookViews>
    <workbookView xWindow="-120" yWindow="-120" windowWidth="29040" windowHeight="15840" xr2:uid="{00000000-000D-0000-FFFF-FFFF00000000}"/>
  </bookViews>
  <sheets>
    <sheet name="بيانات التلاميذ في المادة " sheetId="1" r:id="rId1"/>
    <sheet name="بيانات التلاميذ الكفاءة 1" sheetId="11" r:id="rId2"/>
    <sheet name="بيانات التلاميذ الكفاءة 2" sheetId="13" r:id="rId3"/>
    <sheet name="التلاميذ للمعالجة الكفاءة 1" sheetId="9" r:id="rId4"/>
    <sheet name="التلاميذ للمعالجة الكفاءة 2" sheetId="10" r:id="rId5"/>
    <sheet name="اعداد" sheetId="14" r:id="rId6"/>
  </sheets>
  <externalReferences>
    <externalReference r:id="rId7"/>
  </externalReferences>
  <definedNames>
    <definedName name="_xlchart.v1.0" hidden="1">'بيانات التلاميذ في المادة '!$A$55</definedName>
    <definedName name="_xlchart.v1.1" hidden="1">'بيانات التلاميذ في المادة '!$A$56</definedName>
    <definedName name="_xlchart.v1.10" hidden="1">'بيانات التلاميذ الكفاءة 1'!$A$57</definedName>
    <definedName name="_xlchart.v1.11" hidden="1">'بيانات التلاميذ الكفاءة 1'!$A$58</definedName>
    <definedName name="_xlchart.v1.12" hidden="1">'بيانات التلاميذ الكفاءة 1'!$C$55:$F$55</definedName>
    <definedName name="_xlchart.v1.13" hidden="1">'بيانات التلاميذ الكفاءة 1'!$C$56:$F$56</definedName>
    <definedName name="_xlchart.v1.14" hidden="1">'بيانات التلاميذ الكفاءة 1'!$C$57:$F$57</definedName>
    <definedName name="_xlchart.v1.15" hidden="1">'بيانات التلاميذ الكفاءة 1'!$C$58:$F$58</definedName>
    <definedName name="_xlchart.v1.2" hidden="1">'بيانات التلاميذ في المادة '!$A$57</definedName>
    <definedName name="_xlchart.v1.3" hidden="1">'بيانات التلاميذ في المادة '!$A$58</definedName>
    <definedName name="_xlchart.v1.4" hidden="1">'بيانات التلاميذ في المادة '!$C$55:$F$55</definedName>
    <definedName name="_xlchart.v1.5" hidden="1">'بيانات التلاميذ في المادة '!$C$56:$F$56</definedName>
    <definedName name="_xlchart.v1.6" hidden="1">'بيانات التلاميذ في المادة '!$C$57:$F$57</definedName>
    <definedName name="_xlchart.v1.7" hidden="1">'بيانات التلاميذ في المادة '!$C$58:$F$58</definedName>
    <definedName name="_xlchart.v1.8" hidden="1">'بيانات التلاميذ الكفاءة 1'!$A$55</definedName>
    <definedName name="_xlchart.v1.9" hidden="1">'بيانات التلاميذ الكفاءة 1'!$A$56</definedName>
    <definedName name="cf">[1]BD!$F$17:$F$19</definedName>
    <definedName name="_xlnm.Print_Area" localSheetId="3">'التلاميذ للمعالجة الكفاءة 1'!$A$1:$E$51</definedName>
    <definedName name="_xlnm.Print_Area" localSheetId="4">'التلاميذ للمعالجة الكفاءة 2'!$A$1:$E$51</definedName>
    <definedName name="_xlnm.Print_Area" localSheetId="1">'بيانات التلاميذ الكفاءة 1'!$A$3:$V$59</definedName>
    <definedName name="_xlnm.Print_Area" localSheetId="2">'بيانات التلاميذ الكفاءة 2'!$A$3:$U$59</definedName>
    <definedName name="_xlnm.Print_Area" localSheetId="0">'بيانات التلاميذ في المادة '!$A$3:$Z$59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9" l="1"/>
  <c r="C5" i="10"/>
  <c r="C59" i="1"/>
  <c r="B51" i="9" s="1"/>
  <c r="D59" i="1"/>
  <c r="C51" i="9" s="1"/>
  <c r="E59" i="1"/>
  <c r="D51" i="9" s="1"/>
  <c r="F59" i="1"/>
  <c r="E51" i="9" s="1"/>
  <c r="G59" i="1"/>
  <c r="B51" i="10" s="1"/>
  <c r="H59" i="1"/>
  <c r="C51" i="10" s="1"/>
  <c r="I59" i="1"/>
  <c r="D51" i="10" s="1"/>
  <c r="C58" i="1"/>
  <c r="B50" i="9" s="1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" i="1"/>
  <c r="J50" i="13"/>
  <c r="J52" i="13"/>
  <c r="J53" i="13"/>
  <c r="J54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H54" i="13"/>
  <c r="E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J49" i="13" s="1"/>
  <c r="D50" i="13"/>
  <c r="D51" i="13"/>
  <c r="D52" i="13"/>
  <c r="D53" i="13"/>
  <c r="D54" i="13"/>
  <c r="C6" i="13"/>
  <c r="C7" i="13"/>
  <c r="J7" i="13" s="1"/>
  <c r="C8" i="13"/>
  <c r="C9" i="13"/>
  <c r="C10" i="13"/>
  <c r="C11" i="13"/>
  <c r="J11" i="13" s="1"/>
  <c r="C12" i="13"/>
  <c r="C13" i="13"/>
  <c r="C14" i="13"/>
  <c r="C15" i="13"/>
  <c r="J15" i="13" s="1"/>
  <c r="C16" i="13"/>
  <c r="C17" i="13"/>
  <c r="C18" i="13"/>
  <c r="C19" i="13"/>
  <c r="J19" i="13" s="1"/>
  <c r="C20" i="13"/>
  <c r="C21" i="13"/>
  <c r="C22" i="13"/>
  <c r="C23" i="13"/>
  <c r="J23" i="13" s="1"/>
  <c r="C24" i="13"/>
  <c r="C25" i="13"/>
  <c r="C26" i="13"/>
  <c r="C27" i="13"/>
  <c r="J27" i="13" s="1"/>
  <c r="C28" i="13"/>
  <c r="C29" i="13"/>
  <c r="C30" i="13"/>
  <c r="C31" i="13"/>
  <c r="J31" i="13" s="1"/>
  <c r="C32" i="13"/>
  <c r="C33" i="13"/>
  <c r="C34" i="13"/>
  <c r="C35" i="13"/>
  <c r="J35" i="13" s="1"/>
  <c r="C36" i="13"/>
  <c r="C37" i="13"/>
  <c r="C38" i="13"/>
  <c r="G38" i="13" s="1"/>
  <c r="C39" i="13"/>
  <c r="J39" i="13" s="1"/>
  <c r="C40" i="13"/>
  <c r="C41" i="13"/>
  <c r="C42" i="13"/>
  <c r="C43" i="13"/>
  <c r="J43" i="13" s="1"/>
  <c r="C44" i="13"/>
  <c r="C45" i="13"/>
  <c r="C46" i="13"/>
  <c r="C47" i="13"/>
  <c r="J47" i="13" s="1"/>
  <c r="C48" i="13"/>
  <c r="C49" i="13"/>
  <c r="C50" i="13"/>
  <c r="G50" i="13" s="1"/>
  <c r="C51" i="13"/>
  <c r="J51" i="13" s="1"/>
  <c r="C52" i="13"/>
  <c r="C53" i="13"/>
  <c r="C54" i="13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D34" i="11"/>
  <c r="D35" i="11"/>
  <c r="D36" i="11"/>
  <c r="D37" i="11"/>
  <c r="D38" i="11"/>
  <c r="D39" i="11"/>
  <c r="D40" i="11"/>
  <c r="D41" i="11"/>
  <c r="D42" i="11"/>
  <c r="D43" i="11"/>
  <c r="D44" i="11"/>
  <c r="J44" i="11" s="1"/>
  <c r="D45" i="11"/>
  <c r="D46" i="11"/>
  <c r="D47" i="11"/>
  <c r="D48" i="11"/>
  <c r="D49" i="11"/>
  <c r="D50" i="11"/>
  <c r="D51" i="11"/>
  <c r="D52" i="11"/>
  <c r="D53" i="11"/>
  <c r="D54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I50" i="13"/>
  <c r="I51" i="13"/>
  <c r="I52" i="13"/>
  <c r="H51" i="13"/>
  <c r="H52" i="13"/>
  <c r="G52" i="13"/>
  <c r="G54" i="13"/>
  <c r="F50" i="13"/>
  <c r="F51" i="13"/>
  <c r="F52" i="13"/>
  <c r="F54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C55" i="1"/>
  <c r="B47" i="9" s="1"/>
  <c r="D55" i="1"/>
  <c r="C47" i="9" s="1"/>
  <c r="E55" i="1"/>
  <c r="D47" i="9" s="1"/>
  <c r="F55" i="1"/>
  <c r="E47" i="9" s="1"/>
  <c r="G55" i="1"/>
  <c r="B47" i="10" s="1"/>
  <c r="H55" i="1"/>
  <c r="C47" i="10" s="1"/>
  <c r="I55" i="1"/>
  <c r="D47" i="10" s="1"/>
  <c r="C56" i="1"/>
  <c r="B48" i="9" s="1"/>
  <c r="D56" i="1"/>
  <c r="C48" i="9" s="1"/>
  <c r="E56" i="1"/>
  <c r="D48" i="9" s="1"/>
  <c r="F56" i="1"/>
  <c r="E48" i="9" s="1"/>
  <c r="G56" i="1"/>
  <c r="B48" i="10" s="1"/>
  <c r="H56" i="1"/>
  <c r="C48" i="10" s="1"/>
  <c r="I56" i="1"/>
  <c r="D48" i="10" s="1"/>
  <c r="C57" i="1"/>
  <c r="B49" i="9" s="1"/>
  <c r="D57" i="1"/>
  <c r="C49" i="9" s="1"/>
  <c r="E57" i="1"/>
  <c r="D49" i="9" s="1"/>
  <c r="F57" i="1"/>
  <c r="E49" i="9" s="1"/>
  <c r="G57" i="1"/>
  <c r="B49" i="10" s="1"/>
  <c r="H57" i="1"/>
  <c r="C49" i="10" s="1"/>
  <c r="I57" i="1"/>
  <c r="D49" i="10" s="1"/>
  <c r="D58" i="1"/>
  <c r="C50" i="9" s="1"/>
  <c r="E58" i="1"/>
  <c r="D50" i="9" s="1"/>
  <c r="F58" i="1"/>
  <c r="E50" i="9" s="1"/>
  <c r="G58" i="1"/>
  <c r="B50" i="10" s="1"/>
  <c r="H58" i="1"/>
  <c r="C50" i="10" s="1"/>
  <c r="I58" i="1"/>
  <c r="D50" i="10" s="1"/>
  <c r="D5" i="13"/>
  <c r="C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5" i="13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D5" i="11"/>
  <c r="E5" i="11"/>
  <c r="F5" i="11"/>
  <c r="C5" i="11"/>
  <c r="A5" i="11"/>
  <c r="J7" i="10"/>
  <c r="H7" i="10"/>
  <c r="F7" i="10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F7" i="9"/>
  <c r="L7" i="9"/>
  <c r="J7" i="9"/>
  <c r="H7" i="9"/>
  <c r="M5" i="1"/>
  <c r="H44" i="11" l="1"/>
  <c r="I44" i="13"/>
  <c r="H44" i="13"/>
  <c r="F43" i="13"/>
  <c r="G51" i="13"/>
  <c r="H47" i="13"/>
  <c r="F36" i="13"/>
  <c r="F38" i="13"/>
  <c r="K46" i="11"/>
  <c r="I44" i="11"/>
  <c r="H46" i="13"/>
  <c r="G42" i="13"/>
  <c r="J22" i="13"/>
  <c r="I40" i="13"/>
  <c r="I36" i="13"/>
  <c r="H40" i="13"/>
  <c r="I39" i="11"/>
  <c r="K40" i="11"/>
  <c r="F59" i="11"/>
  <c r="H36" i="13"/>
  <c r="G36" i="13"/>
  <c r="J6" i="13"/>
  <c r="K35" i="11"/>
  <c r="E59" i="13"/>
  <c r="I28" i="9"/>
  <c r="C32" i="9" s="1"/>
  <c r="E59" i="11"/>
  <c r="C59" i="13"/>
  <c r="H39" i="11"/>
  <c r="J39" i="11"/>
  <c r="D59" i="11"/>
  <c r="D59" i="13"/>
  <c r="G44" i="11"/>
  <c r="K43" i="11"/>
  <c r="K39" i="11"/>
  <c r="K44" i="11"/>
  <c r="J40" i="11"/>
  <c r="J42" i="11"/>
  <c r="K34" i="9"/>
  <c r="D38" i="9" s="1"/>
  <c r="M28" i="9"/>
  <c r="G27" i="10"/>
  <c r="C59" i="11"/>
  <c r="G39" i="11"/>
  <c r="I46" i="13"/>
  <c r="H42" i="13"/>
  <c r="G42" i="9"/>
  <c r="I40" i="9"/>
  <c r="C44" i="9" s="1"/>
  <c r="M30" i="9"/>
  <c r="G29" i="10"/>
  <c r="B33" i="10" s="1"/>
  <c r="J35" i="11"/>
  <c r="J36" i="11"/>
  <c r="K38" i="11"/>
  <c r="H8" i="13"/>
  <c r="G30" i="9"/>
  <c r="B34" i="9" s="1"/>
  <c r="H38" i="13"/>
  <c r="J34" i="13"/>
  <c r="J30" i="13"/>
  <c r="J26" i="13"/>
  <c r="J18" i="13"/>
  <c r="J14" i="13"/>
  <c r="J10" i="13"/>
  <c r="J38" i="13"/>
  <c r="M46" i="9"/>
  <c r="M36" i="9"/>
  <c r="E40" i="9" s="1"/>
  <c r="G53" i="10"/>
  <c r="G37" i="10"/>
  <c r="B41" i="10" s="1"/>
  <c r="G25" i="10"/>
  <c r="B29" i="10" s="1"/>
  <c r="J5" i="13"/>
  <c r="G40" i="11"/>
  <c r="G35" i="11"/>
  <c r="H40" i="11"/>
  <c r="H35" i="11"/>
  <c r="I40" i="11"/>
  <c r="I35" i="11"/>
  <c r="K42" i="11"/>
  <c r="K36" i="11"/>
  <c r="F44" i="13"/>
  <c r="G43" i="13"/>
  <c r="H43" i="13"/>
  <c r="H35" i="13"/>
  <c r="I47" i="13"/>
  <c r="I39" i="13"/>
  <c r="J44" i="13"/>
  <c r="J40" i="13"/>
  <c r="J36" i="13"/>
  <c r="J32" i="13"/>
  <c r="J28" i="13"/>
  <c r="J24" i="13"/>
  <c r="J20" i="13"/>
  <c r="J16" i="13"/>
  <c r="J12" i="13"/>
  <c r="J8" i="13"/>
  <c r="J42" i="13"/>
  <c r="I44" i="9"/>
  <c r="K46" i="9"/>
  <c r="K30" i="9"/>
  <c r="M53" i="9"/>
  <c r="M48" i="9"/>
  <c r="M42" i="9"/>
  <c r="M37" i="9"/>
  <c r="M32" i="9"/>
  <c r="E36" i="9" s="1"/>
  <c r="M26" i="9"/>
  <c r="E30" i="9" s="1"/>
  <c r="G46" i="9"/>
  <c r="G38" i="9"/>
  <c r="B42" i="9" s="1"/>
  <c r="G54" i="10"/>
  <c r="G50" i="10"/>
  <c r="G46" i="10"/>
  <c r="G42" i="10"/>
  <c r="G38" i="10"/>
  <c r="G34" i="10"/>
  <c r="B38" i="10" s="1"/>
  <c r="G30" i="10"/>
  <c r="B34" i="10" s="1"/>
  <c r="G26" i="10"/>
  <c r="K25" i="10"/>
  <c r="D29" i="10" s="1"/>
  <c r="K42" i="9"/>
  <c r="M52" i="9"/>
  <c r="M41" i="9"/>
  <c r="G49" i="10"/>
  <c r="G41" i="10"/>
  <c r="B45" i="10" s="1"/>
  <c r="G33" i="10"/>
  <c r="B37" i="10" s="1"/>
  <c r="G43" i="11"/>
  <c r="G38" i="11"/>
  <c r="H43" i="11"/>
  <c r="H38" i="11"/>
  <c r="I43" i="11"/>
  <c r="I38" i="11"/>
  <c r="J43" i="11"/>
  <c r="J38" i="11"/>
  <c r="F40" i="13"/>
  <c r="F35" i="13"/>
  <c r="G47" i="13"/>
  <c r="G40" i="13"/>
  <c r="G35" i="13"/>
  <c r="H39" i="13"/>
  <c r="I43" i="13"/>
  <c r="I35" i="13"/>
  <c r="I48" i="13"/>
  <c r="K54" i="9"/>
  <c r="K38" i="9"/>
  <c r="D42" i="9" s="1"/>
  <c r="M27" i="9"/>
  <c r="E31" i="9" s="1"/>
  <c r="M50" i="9"/>
  <c r="M45" i="9"/>
  <c r="M40" i="9"/>
  <c r="E44" i="9" s="1"/>
  <c r="M34" i="9"/>
  <c r="E38" i="9" s="1"/>
  <c r="M29" i="9"/>
  <c r="E33" i="9" s="1"/>
  <c r="G34" i="9"/>
  <c r="B38" i="9" s="1"/>
  <c r="G31" i="9"/>
  <c r="B35" i="9" s="1"/>
  <c r="G52" i="10"/>
  <c r="G48" i="10"/>
  <c r="G44" i="10"/>
  <c r="G40" i="10"/>
  <c r="B44" i="10" s="1"/>
  <c r="G36" i="10"/>
  <c r="B40" i="10" s="1"/>
  <c r="G32" i="10"/>
  <c r="G28" i="10"/>
  <c r="B32" i="10" s="1"/>
  <c r="I25" i="10"/>
  <c r="C29" i="10" s="1"/>
  <c r="K26" i="9"/>
  <c r="I32" i="9"/>
  <c r="G45" i="10"/>
  <c r="G42" i="11"/>
  <c r="G36" i="11"/>
  <c r="H42" i="11"/>
  <c r="H36" i="11"/>
  <c r="I42" i="11"/>
  <c r="I36" i="11"/>
  <c r="F47" i="13"/>
  <c r="F39" i="13"/>
  <c r="G44" i="13"/>
  <c r="G39" i="13"/>
  <c r="J45" i="13"/>
  <c r="J41" i="13"/>
  <c r="J37" i="13"/>
  <c r="J33" i="13"/>
  <c r="J29" i="13"/>
  <c r="J25" i="13"/>
  <c r="J21" i="13"/>
  <c r="J17" i="13"/>
  <c r="J13" i="13"/>
  <c r="J9" i="13"/>
  <c r="J46" i="13"/>
  <c r="K27" i="9"/>
  <c r="D31" i="9" s="1"/>
  <c r="K50" i="9"/>
  <c r="M54" i="9"/>
  <c r="M49" i="9"/>
  <c r="M44" i="9"/>
  <c r="M38" i="9"/>
  <c r="M33" i="9"/>
  <c r="E37" i="9" s="1"/>
  <c r="G50" i="9"/>
  <c r="G51" i="10"/>
  <c r="G47" i="10"/>
  <c r="G43" i="10"/>
  <c r="G39" i="10"/>
  <c r="B43" i="10" s="1"/>
  <c r="G35" i="10"/>
  <c r="B39" i="10" s="1"/>
  <c r="G31" i="10"/>
  <c r="I52" i="10"/>
  <c r="I40" i="10"/>
  <c r="C44" i="10" s="1"/>
  <c r="I32" i="10"/>
  <c r="C36" i="10" s="1"/>
  <c r="K48" i="10"/>
  <c r="K36" i="10"/>
  <c r="D40" i="10" s="1"/>
  <c r="K28" i="10"/>
  <c r="D32" i="10" s="1"/>
  <c r="F48" i="13"/>
  <c r="G48" i="13"/>
  <c r="H48" i="13"/>
  <c r="K53" i="9"/>
  <c r="K49" i="9"/>
  <c r="K45" i="9"/>
  <c r="K41" i="9"/>
  <c r="D45" i="9" s="1"/>
  <c r="K37" i="9"/>
  <c r="D41" i="9" s="1"/>
  <c r="K33" i="9"/>
  <c r="D37" i="9" s="1"/>
  <c r="K29" i="9"/>
  <c r="K25" i="9"/>
  <c r="D29" i="9" s="1"/>
  <c r="I51" i="10"/>
  <c r="I47" i="10"/>
  <c r="I43" i="10"/>
  <c r="I39" i="10"/>
  <c r="C43" i="10" s="1"/>
  <c r="I35" i="10"/>
  <c r="C39" i="10" s="1"/>
  <c r="I31" i="10"/>
  <c r="C35" i="10" s="1"/>
  <c r="I27" i="10"/>
  <c r="C31" i="10" s="1"/>
  <c r="K51" i="10"/>
  <c r="K47" i="10"/>
  <c r="K43" i="10"/>
  <c r="K39" i="10"/>
  <c r="K35" i="10"/>
  <c r="K31" i="10"/>
  <c r="D35" i="10" s="1"/>
  <c r="K27" i="10"/>
  <c r="D31" i="10" s="1"/>
  <c r="I44" i="10"/>
  <c r="J48" i="13"/>
  <c r="I52" i="9"/>
  <c r="I36" i="9"/>
  <c r="C40" i="9" s="1"/>
  <c r="K52" i="9"/>
  <c r="K48" i="9"/>
  <c r="K44" i="9"/>
  <c r="K40" i="9"/>
  <c r="D44" i="9" s="1"/>
  <c r="K36" i="9"/>
  <c r="D40" i="9" s="1"/>
  <c r="K32" i="9"/>
  <c r="D36" i="9" s="1"/>
  <c r="K28" i="9"/>
  <c r="D32" i="9" s="1"/>
  <c r="K24" i="9"/>
  <c r="D28" i="9" s="1"/>
  <c r="I54" i="10"/>
  <c r="I50" i="10"/>
  <c r="I46" i="10"/>
  <c r="I42" i="10"/>
  <c r="I38" i="10"/>
  <c r="C42" i="10" s="1"/>
  <c r="I34" i="10"/>
  <c r="C38" i="10" s="1"/>
  <c r="I30" i="10"/>
  <c r="C34" i="10" s="1"/>
  <c r="I26" i="10"/>
  <c r="C30" i="10" s="1"/>
  <c r="K54" i="10"/>
  <c r="K50" i="10"/>
  <c r="K46" i="10"/>
  <c r="K42" i="10"/>
  <c r="K38" i="10"/>
  <c r="K34" i="10"/>
  <c r="D38" i="10" s="1"/>
  <c r="K30" i="10"/>
  <c r="D34" i="10" s="1"/>
  <c r="K26" i="10"/>
  <c r="D30" i="10" s="1"/>
  <c r="I48" i="10"/>
  <c r="I36" i="10"/>
  <c r="C40" i="10" s="1"/>
  <c r="I28" i="10"/>
  <c r="C32" i="10" s="1"/>
  <c r="K52" i="10"/>
  <c r="K44" i="10"/>
  <c r="K40" i="10"/>
  <c r="D44" i="10" s="1"/>
  <c r="K32" i="10"/>
  <c r="D36" i="10" s="1"/>
  <c r="I48" i="9"/>
  <c r="K51" i="9"/>
  <c r="K47" i="9"/>
  <c r="K43" i="9"/>
  <c r="K39" i="9"/>
  <c r="D43" i="9" s="1"/>
  <c r="K35" i="9"/>
  <c r="D39" i="9" s="1"/>
  <c r="K31" i="9"/>
  <c r="D35" i="9" s="1"/>
  <c r="M51" i="9"/>
  <c r="M47" i="9"/>
  <c r="M43" i="9"/>
  <c r="M39" i="9"/>
  <c r="E43" i="9" s="1"/>
  <c r="M35" i="9"/>
  <c r="E39" i="9" s="1"/>
  <c r="M31" i="9"/>
  <c r="E35" i="9" s="1"/>
  <c r="I29" i="9"/>
  <c r="G54" i="9"/>
  <c r="I53" i="10"/>
  <c r="I49" i="10"/>
  <c r="I45" i="10"/>
  <c r="I41" i="10"/>
  <c r="C45" i="10" s="1"/>
  <c r="I37" i="10"/>
  <c r="C41" i="10" s="1"/>
  <c r="I33" i="10"/>
  <c r="C37" i="10" s="1"/>
  <c r="I29" i="10"/>
  <c r="K53" i="10"/>
  <c r="K49" i="10"/>
  <c r="K45" i="10"/>
  <c r="K41" i="10"/>
  <c r="K37" i="10"/>
  <c r="D41" i="10" s="1"/>
  <c r="K33" i="10"/>
  <c r="D37" i="10" s="1"/>
  <c r="K29" i="10"/>
  <c r="D33" i="10" s="1"/>
  <c r="G53" i="9"/>
  <c r="G49" i="9"/>
  <c r="G45" i="9"/>
  <c r="G41" i="9"/>
  <c r="B45" i="9" s="1"/>
  <c r="G37" i="9"/>
  <c r="B41" i="9" s="1"/>
  <c r="G33" i="9"/>
  <c r="B37" i="9" s="1"/>
  <c r="G29" i="9"/>
  <c r="B33" i="9" s="1"/>
  <c r="G52" i="9"/>
  <c r="G48" i="9"/>
  <c r="G44" i="9"/>
  <c r="G40" i="9"/>
  <c r="B44" i="9" s="1"/>
  <c r="G36" i="9"/>
  <c r="B40" i="9" s="1"/>
  <c r="G32" i="9"/>
  <c r="G51" i="9"/>
  <c r="G47" i="9"/>
  <c r="G43" i="9"/>
  <c r="G39" i="9"/>
  <c r="B43" i="9" s="1"/>
  <c r="G35" i="9"/>
  <c r="I51" i="9"/>
  <c r="I47" i="9"/>
  <c r="I43" i="9"/>
  <c r="I39" i="9"/>
  <c r="C43" i="9" s="1"/>
  <c r="I35" i="9"/>
  <c r="C39" i="9" s="1"/>
  <c r="I31" i="9"/>
  <c r="C35" i="9" s="1"/>
  <c r="I27" i="9"/>
  <c r="C31" i="9" s="1"/>
  <c r="I54" i="9"/>
  <c r="I50" i="9"/>
  <c r="I46" i="9"/>
  <c r="I42" i="9"/>
  <c r="I38" i="9"/>
  <c r="C42" i="9" s="1"/>
  <c r="I34" i="9"/>
  <c r="C38" i="9" s="1"/>
  <c r="I30" i="9"/>
  <c r="C34" i="9" s="1"/>
  <c r="I53" i="9"/>
  <c r="I49" i="9"/>
  <c r="I45" i="9"/>
  <c r="I41" i="9"/>
  <c r="C45" i="9" s="1"/>
  <c r="I37" i="9"/>
  <c r="C41" i="9" s="1"/>
  <c r="I33" i="9"/>
  <c r="C37" i="9" s="1"/>
  <c r="M23" i="9"/>
  <c r="E27" i="9" s="1"/>
  <c r="G14" i="9"/>
  <c r="B18" i="9" s="1"/>
  <c r="K12" i="9"/>
  <c r="D16" i="9" s="1"/>
  <c r="I13" i="9"/>
  <c r="C17" i="9" s="1"/>
  <c r="G18" i="9"/>
  <c r="B22" i="9" s="1"/>
  <c r="K8" i="9"/>
  <c r="D12" i="9" s="1"/>
  <c r="M11" i="9"/>
  <c r="E15" i="9" s="1"/>
  <c r="G14" i="10"/>
  <c r="B18" i="10" s="1"/>
  <c r="I21" i="10"/>
  <c r="G18" i="10"/>
  <c r="B22" i="10" s="1"/>
  <c r="K10" i="10"/>
  <c r="K14" i="10"/>
  <c r="D18" i="10" s="1"/>
  <c r="K18" i="10"/>
  <c r="D22" i="10" s="1"/>
  <c r="K22" i="10"/>
  <c r="D26" i="10" s="1"/>
  <c r="K11" i="10"/>
  <c r="K15" i="10"/>
  <c r="D19" i="10" s="1"/>
  <c r="K19" i="10"/>
  <c r="D23" i="10" s="1"/>
  <c r="K23" i="10"/>
  <c r="D27" i="10" s="1"/>
  <c r="D43" i="10"/>
  <c r="K7" i="10"/>
  <c r="D11" i="10" s="1"/>
  <c r="K8" i="10"/>
  <c r="D12" i="10" s="1"/>
  <c r="K12" i="10"/>
  <c r="D16" i="10" s="1"/>
  <c r="K16" i="10"/>
  <c r="D20" i="10" s="1"/>
  <c r="K20" i="10"/>
  <c r="D24" i="10" s="1"/>
  <c r="K24" i="10"/>
  <c r="D28" i="10" s="1"/>
  <c r="K9" i="10"/>
  <c r="D13" i="10" s="1"/>
  <c r="K13" i="10"/>
  <c r="D17" i="10" s="1"/>
  <c r="K17" i="10"/>
  <c r="D21" i="10" s="1"/>
  <c r="K21" i="10"/>
  <c r="D25" i="10" s="1"/>
  <c r="G26" i="9"/>
  <c r="B30" i="9" s="1"/>
  <c r="C33" i="10"/>
  <c r="G25" i="9"/>
  <c r="B29" i="9" s="1"/>
  <c r="G21" i="9"/>
  <c r="B25" i="9" s="1"/>
  <c r="G15" i="9"/>
  <c r="B19" i="9" s="1"/>
  <c r="M7" i="9"/>
  <c r="E11" i="9" s="1"/>
  <c r="I9" i="10"/>
  <c r="C13" i="10" s="1"/>
  <c r="I10" i="9"/>
  <c r="C14" i="9" s="1"/>
  <c r="I14" i="9"/>
  <c r="C18" i="9" s="1"/>
  <c r="I18" i="9"/>
  <c r="C22" i="9" s="1"/>
  <c r="I22" i="9"/>
  <c r="C26" i="9" s="1"/>
  <c r="I26" i="9"/>
  <c r="C30" i="9" s="1"/>
  <c r="I11" i="9"/>
  <c r="C15" i="9" s="1"/>
  <c r="I15" i="9"/>
  <c r="C19" i="9" s="1"/>
  <c r="I19" i="9"/>
  <c r="C23" i="9" s="1"/>
  <c r="I23" i="9"/>
  <c r="C27" i="9" s="1"/>
  <c r="I7" i="9"/>
  <c r="C11" i="9" s="1"/>
  <c r="I8" i="9"/>
  <c r="I12" i="9"/>
  <c r="C16" i="9" s="1"/>
  <c r="I16" i="9"/>
  <c r="C20" i="9" s="1"/>
  <c r="I20" i="9"/>
  <c r="C24" i="9" s="1"/>
  <c r="I24" i="9"/>
  <c r="C28" i="9" s="1"/>
  <c r="G22" i="9"/>
  <c r="B26" i="9" s="1"/>
  <c r="I17" i="9"/>
  <c r="C21" i="9" s="1"/>
  <c r="I13" i="10"/>
  <c r="C17" i="10" s="1"/>
  <c r="K9" i="9"/>
  <c r="D13" i="9" s="1"/>
  <c r="K13" i="9"/>
  <c r="D17" i="9" s="1"/>
  <c r="K17" i="9"/>
  <c r="D21" i="9" s="1"/>
  <c r="K21" i="9"/>
  <c r="D25" i="9" s="1"/>
  <c r="D33" i="9"/>
  <c r="K10" i="9"/>
  <c r="D14" i="9" s="1"/>
  <c r="K14" i="9"/>
  <c r="D18" i="9" s="1"/>
  <c r="K18" i="9"/>
  <c r="D22" i="9" s="1"/>
  <c r="K22" i="9"/>
  <c r="D26" i="9" s="1"/>
  <c r="D34" i="9"/>
  <c r="K11" i="9"/>
  <c r="D15" i="9" s="1"/>
  <c r="K15" i="9"/>
  <c r="D19" i="9" s="1"/>
  <c r="K19" i="9"/>
  <c r="K23" i="9"/>
  <c r="D27" i="9" s="1"/>
  <c r="K7" i="9"/>
  <c r="D11" i="9" s="1"/>
  <c r="M8" i="9"/>
  <c r="E12" i="9" s="1"/>
  <c r="M12" i="9"/>
  <c r="E16" i="9" s="1"/>
  <c r="M16" i="9"/>
  <c r="M20" i="9"/>
  <c r="E24" i="9" s="1"/>
  <c r="M24" i="9"/>
  <c r="E28" i="9" s="1"/>
  <c r="E32" i="9"/>
  <c r="M9" i="9"/>
  <c r="E13" i="9" s="1"/>
  <c r="M13" i="9"/>
  <c r="E17" i="9" s="1"/>
  <c r="M17" i="9"/>
  <c r="E21" i="9" s="1"/>
  <c r="M21" i="9"/>
  <c r="E25" i="9" s="1"/>
  <c r="M25" i="9"/>
  <c r="E29" i="9" s="1"/>
  <c r="E45" i="9"/>
  <c r="M10" i="9"/>
  <c r="E14" i="9" s="1"/>
  <c r="M14" i="9"/>
  <c r="E18" i="9" s="1"/>
  <c r="M18" i="9"/>
  <c r="E22" i="9" s="1"/>
  <c r="M22" i="9"/>
  <c r="E26" i="9" s="1"/>
  <c r="E34" i="9"/>
  <c r="G11" i="10"/>
  <c r="B15" i="10" s="1"/>
  <c r="G15" i="10"/>
  <c r="B19" i="10" s="1"/>
  <c r="G19" i="10"/>
  <c r="B23" i="10" s="1"/>
  <c r="G23" i="10"/>
  <c r="B27" i="10" s="1"/>
  <c r="G7" i="10"/>
  <c r="B11" i="10" s="1"/>
  <c r="G8" i="10"/>
  <c r="B12" i="10" s="1"/>
  <c r="G12" i="10"/>
  <c r="B16" i="10" s="1"/>
  <c r="G16" i="10"/>
  <c r="B20" i="10" s="1"/>
  <c r="G20" i="10"/>
  <c r="B24" i="10" s="1"/>
  <c r="G24" i="10"/>
  <c r="B28" i="10" s="1"/>
  <c r="G9" i="10"/>
  <c r="B13" i="10" s="1"/>
  <c r="G13" i="10"/>
  <c r="B17" i="10" s="1"/>
  <c r="G17" i="10"/>
  <c r="B21" i="10" s="1"/>
  <c r="G21" i="10"/>
  <c r="B25" i="10" s="1"/>
  <c r="B36" i="9"/>
  <c r="G28" i="9"/>
  <c r="B32" i="9" s="1"/>
  <c r="G24" i="9"/>
  <c r="B28" i="9" s="1"/>
  <c r="G20" i="9"/>
  <c r="I25" i="9"/>
  <c r="C29" i="9" s="1"/>
  <c r="I9" i="9"/>
  <c r="C13" i="9" s="1"/>
  <c r="K20" i="9"/>
  <c r="D24" i="9" s="1"/>
  <c r="M19" i="9"/>
  <c r="E23" i="9" s="1"/>
  <c r="B30" i="10"/>
  <c r="G10" i="10"/>
  <c r="B14" i="10" s="1"/>
  <c r="G11" i="9"/>
  <c r="B15" i="9" s="1"/>
  <c r="G8" i="9"/>
  <c r="B12" i="9" s="1"/>
  <c r="G12" i="9"/>
  <c r="B16" i="9" s="1"/>
  <c r="G16" i="9"/>
  <c r="B20" i="9" s="1"/>
  <c r="G9" i="9"/>
  <c r="B13" i="9" s="1"/>
  <c r="G13" i="9"/>
  <c r="B17" i="9" s="1"/>
  <c r="G17" i="9"/>
  <c r="B21" i="9" s="1"/>
  <c r="I10" i="10"/>
  <c r="C14" i="10" s="1"/>
  <c r="I14" i="10"/>
  <c r="C18" i="10" s="1"/>
  <c r="I18" i="10"/>
  <c r="C22" i="10" s="1"/>
  <c r="I22" i="10"/>
  <c r="C26" i="10" s="1"/>
  <c r="I11" i="10"/>
  <c r="C15" i="10" s="1"/>
  <c r="I15" i="10"/>
  <c r="C19" i="10" s="1"/>
  <c r="I19" i="10"/>
  <c r="C23" i="10" s="1"/>
  <c r="I23" i="10"/>
  <c r="C27" i="10" s="1"/>
  <c r="I7" i="10"/>
  <c r="C11" i="10" s="1"/>
  <c r="I8" i="10"/>
  <c r="C12" i="10" s="1"/>
  <c r="I12" i="10"/>
  <c r="C16" i="10" s="1"/>
  <c r="I16" i="10"/>
  <c r="C20" i="10" s="1"/>
  <c r="I20" i="10"/>
  <c r="C24" i="10" s="1"/>
  <c r="I24" i="10"/>
  <c r="C28" i="10" s="1"/>
  <c r="G7" i="9"/>
  <c r="B11" i="9" s="1"/>
  <c r="G27" i="9"/>
  <c r="G23" i="9"/>
  <c r="B27" i="9" s="1"/>
  <c r="G19" i="9"/>
  <c r="G10" i="9"/>
  <c r="B14" i="9" s="1"/>
  <c r="I21" i="9"/>
  <c r="C25" i="9" s="1"/>
  <c r="K16" i="9"/>
  <c r="D20" i="9" s="1"/>
  <c r="M15" i="9"/>
  <c r="E19" i="9" s="1"/>
  <c r="G22" i="10"/>
  <c r="B26" i="10" s="1"/>
  <c r="I17" i="10"/>
  <c r="C21" i="10" s="1"/>
  <c r="I53" i="13"/>
  <c r="I49" i="13"/>
  <c r="I45" i="13"/>
  <c r="I41" i="13"/>
  <c r="I37" i="13"/>
  <c r="F42" i="13"/>
  <c r="G46" i="13"/>
  <c r="H50" i="13"/>
  <c r="I54" i="13"/>
  <c r="I38" i="13"/>
  <c r="F46" i="13"/>
  <c r="I42" i="13"/>
  <c r="F53" i="13"/>
  <c r="F49" i="13"/>
  <c r="F45" i="13"/>
  <c r="F41" i="13"/>
  <c r="F37" i="13"/>
  <c r="G53" i="13"/>
  <c r="G49" i="13"/>
  <c r="G45" i="13"/>
  <c r="G41" i="13"/>
  <c r="G37" i="13"/>
  <c r="H53" i="13"/>
  <c r="H49" i="13"/>
  <c r="H45" i="13"/>
  <c r="H41" i="13"/>
  <c r="H37" i="13"/>
  <c r="G45" i="11"/>
  <c r="G41" i="11"/>
  <c r="G37" i="11"/>
  <c r="H45" i="11"/>
  <c r="H41" i="11"/>
  <c r="H37" i="11"/>
  <c r="J45" i="11"/>
  <c r="J41" i="11"/>
  <c r="J37" i="11"/>
  <c r="K45" i="11"/>
  <c r="K41" i="11"/>
  <c r="I45" i="11"/>
  <c r="I41" i="11"/>
  <c r="I37" i="11"/>
  <c r="K37" i="11"/>
  <c r="F24" i="13"/>
  <c r="K54" i="11"/>
  <c r="J50" i="11"/>
  <c r="H53" i="11"/>
  <c r="K49" i="11"/>
  <c r="I52" i="11"/>
  <c r="G50" i="11"/>
  <c r="J52" i="11"/>
  <c r="H54" i="11"/>
  <c r="I28" i="13"/>
  <c r="F15" i="13"/>
  <c r="G20" i="13"/>
  <c r="H34" i="11"/>
  <c r="H27" i="13"/>
  <c r="H19" i="13"/>
  <c r="I11" i="13"/>
  <c r="F12" i="13"/>
  <c r="H16" i="13"/>
  <c r="H32" i="13"/>
  <c r="F32" i="13"/>
  <c r="G28" i="13"/>
  <c r="H24" i="13"/>
  <c r="H23" i="11"/>
  <c r="H31" i="13"/>
  <c r="H23" i="13"/>
  <c r="I15" i="13"/>
  <c r="I7" i="13"/>
  <c r="F18" i="13"/>
  <c r="G10" i="13"/>
  <c r="I20" i="13"/>
  <c r="F16" i="13"/>
  <c r="F7" i="13"/>
  <c r="J31" i="11"/>
  <c r="I27" i="11"/>
  <c r="G19" i="11"/>
  <c r="I48" i="11"/>
  <c r="G30" i="11"/>
  <c r="H18" i="11"/>
  <c r="K14" i="11"/>
  <c r="J10" i="11"/>
  <c r="I6" i="11"/>
  <c r="F30" i="13"/>
  <c r="F26" i="13"/>
  <c r="G14" i="13"/>
  <c r="G6" i="13"/>
  <c r="H12" i="13"/>
  <c r="F8" i="13"/>
  <c r="I19" i="13"/>
  <c r="I23" i="13"/>
  <c r="I27" i="13"/>
  <c r="I34" i="13"/>
  <c r="G14" i="11"/>
  <c r="F11" i="13"/>
  <c r="G8" i="13"/>
  <c r="I12" i="13"/>
  <c r="G16" i="13"/>
  <c r="F20" i="13"/>
  <c r="I24" i="13"/>
  <c r="H28" i="13"/>
  <c r="G32" i="13"/>
  <c r="I5" i="11"/>
  <c r="I46" i="11"/>
  <c r="H32" i="11"/>
  <c r="K28" i="11"/>
  <c r="J24" i="11"/>
  <c r="I20" i="11"/>
  <c r="H16" i="11"/>
  <c r="K12" i="11"/>
  <c r="J8" i="11"/>
  <c r="I31" i="11"/>
  <c r="H27" i="11"/>
  <c r="K23" i="11"/>
  <c r="J19" i="11"/>
  <c r="I15" i="11"/>
  <c r="H11" i="11"/>
  <c r="K7" i="11"/>
  <c r="H48" i="11"/>
  <c r="K34" i="11"/>
  <c r="J30" i="11"/>
  <c r="I26" i="11"/>
  <c r="H22" i="11"/>
  <c r="K18" i="11"/>
  <c r="J14" i="11"/>
  <c r="I10" i="11"/>
  <c r="H6" i="11"/>
  <c r="C58" i="13"/>
  <c r="H34" i="13"/>
  <c r="I30" i="13"/>
  <c r="I26" i="13"/>
  <c r="I22" i="13"/>
  <c r="I18" i="13"/>
  <c r="F14" i="13"/>
  <c r="F10" i="13"/>
  <c r="F6" i="13"/>
  <c r="F33" i="13"/>
  <c r="F29" i="13"/>
  <c r="F25" i="13"/>
  <c r="F21" i="13"/>
  <c r="I8" i="13"/>
  <c r="G12" i="13"/>
  <c r="I16" i="13"/>
  <c r="H20" i="13"/>
  <c r="F22" i="13"/>
  <c r="G24" i="13"/>
  <c r="F28" i="13"/>
  <c r="I31" i="13"/>
  <c r="I32" i="13"/>
  <c r="D14" i="10"/>
  <c r="C58" i="11"/>
  <c r="F17" i="13"/>
  <c r="F13" i="13"/>
  <c r="H7" i="11"/>
  <c r="I11" i="11"/>
  <c r="J15" i="11"/>
  <c r="K19" i="11"/>
  <c r="G24" i="11"/>
  <c r="H28" i="11"/>
  <c r="I32" i="11"/>
  <c r="J46" i="11"/>
  <c r="K50" i="11"/>
  <c r="C55" i="11"/>
  <c r="G8" i="11"/>
  <c r="H12" i="11"/>
  <c r="I16" i="11"/>
  <c r="J20" i="11"/>
  <c r="K24" i="11"/>
  <c r="E58" i="11"/>
  <c r="K8" i="11"/>
  <c r="I22" i="11"/>
  <c r="J26" i="11"/>
  <c r="K30" i="11"/>
  <c r="H49" i="11"/>
  <c r="I53" i="11"/>
  <c r="C55" i="13"/>
  <c r="F9" i="13"/>
  <c r="J5" i="11"/>
  <c r="J6" i="11"/>
  <c r="I7" i="11"/>
  <c r="H8" i="11"/>
  <c r="G10" i="11"/>
  <c r="K10" i="11"/>
  <c r="J11" i="11"/>
  <c r="I12" i="11"/>
  <c r="H14" i="11"/>
  <c r="G15" i="11"/>
  <c r="K15" i="11"/>
  <c r="J16" i="11"/>
  <c r="I18" i="11"/>
  <c r="H19" i="11"/>
  <c r="G20" i="11"/>
  <c r="K20" i="11"/>
  <c r="J22" i="11"/>
  <c r="I23" i="11"/>
  <c r="H24" i="11"/>
  <c r="G26" i="11"/>
  <c r="K26" i="11"/>
  <c r="J27" i="11"/>
  <c r="I28" i="11"/>
  <c r="H30" i="11"/>
  <c r="G31" i="11"/>
  <c r="K31" i="11"/>
  <c r="J32" i="11"/>
  <c r="I34" i="11"/>
  <c r="G46" i="11"/>
  <c r="J48" i="11"/>
  <c r="I49" i="11"/>
  <c r="H50" i="11"/>
  <c r="G52" i="11"/>
  <c r="K52" i="11"/>
  <c r="J53" i="11"/>
  <c r="I54" i="11"/>
  <c r="C56" i="11"/>
  <c r="G5" i="13"/>
  <c r="H6" i="13"/>
  <c r="G7" i="13"/>
  <c r="H10" i="13"/>
  <c r="G11" i="13"/>
  <c r="H14" i="13"/>
  <c r="G15" i="13"/>
  <c r="G18" i="13"/>
  <c r="F19" i="13"/>
  <c r="G22" i="13"/>
  <c r="F23" i="13"/>
  <c r="G26" i="13"/>
  <c r="F27" i="13"/>
  <c r="G30" i="13"/>
  <c r="F31" i="13"/>
  <c r="F34" i="13"/>
  <c r="C56" i="13"/>
  <c r="G25" i="11"/>
  <c r="K21" i="11"/>
  <c r="F57" i="11"/>
  <c r="G6" i="11"/>
  <c r="K6" i="11"/>
  <c r="J7" i="11"/>
  <c r="I8" i="11"/>
  <c r="H10" i="11"/>
  <c r="G11" i="11"/>
  <c r="K11" i="11"/>
  <c r="J12" i="11"/>
  <c r="I14" i="11"/>
  <c r="H15" i="11"/>
  <c r="G16" i="11"/>
  <c r="K16" i="11"/>
  <c r="J18" i="11"/>
  <c r="I19" i="11"/>
  <c r="H20" i="11"/>
  <c r="G22" i="11"/>
  <c r="K22" i="11"/>
  <c r="J23" i="11"/>
  <c r="I24" i="11"/>
  <c r="H26" i="11"/>
  <c r="G27" i="11"/>
  <c r="K27" i="11"/>
  <c r="J28" i="11"/>
  <c r="I30" i="11"/>
  <c r="H31" i="11"/>
  <c r="G32" i="11"/>
  <c r="K32" i="11"/>
  <c r="J34" i="11"/>
  <c r="H46" i="11"/>
  <c r="G48" i="11"/>
  <c r="K48" i="11"/>
  <c r="J49" i="11"/>
  <c r="I50" i="11"/>
  <c r="H52" i="11"/>
  <c r="G53" i="11"/>
  <c r="K53" i="11"/>
  <c r="J54" i="11"/>
  <c r="C57" i="11"/>
  <c r="I6" i="13"/>
  <c r="H7" i="13"/>
  <c r="I10" i="13"/>
  <c r="H11" i="13"/>
  <c r="I14" i="13"/>
  <c r="H15" i="13"/>
  <c r="H18" i="13"/>
  <c r="G19" i="13"/>
  <c r="H22" i="13"/>
  <c r="G23" i="13"/>
  <c r="H26" i="13"/>
  <c r="G27" i="13"/>
  <c r="H30" i="13"/>
  <c r="G31" i="13"/>
  <c r="G34" i="13"/>
  <c r="C57" i="13"/>
  <c r="E55" i="11"/>
  <c r="G7" i="11"/>
  <c r="G12" i="11"/>
  <c r="G18" i="11"/>
  <c r="G23" i="11"/>
  <c r="G28" i="11"/>
  <c r="G34" i="11"/>
  <c r="G49" i="11"/>
  <c r="G54" i="11"/>
  <c r="G5" i="11"/>
  <c r="K5" i="11"/>
  <c r="H5" i="11"/>
  <c r="E56" i="13"/>
  <c r="E57" i="13"/>
  <c r="I33" i="13"/>
  <c r="I29" i="13"/>
  <c r="I25" i="13"/>
  <c r="I21" i="13"/>
  <c r="I17" i="13"/>
  <c r="I13" i="13"/>
  <c r="I9" i="13"/>
  <c r="G9" i="13"/>
  <c r="G13" i="13"/>
  <c r="G17" i="13"/>
  <c r="G21" i="13"/>
  <c r="G25" i="13"/>
  <c r="G29" i="13"/>
  <c r="G33" i="13"/>
  <c r="D55" i="13"/>
  <c r="D56" i="13"/>
  <c r="H9" i="13"/>
  <c r="H13" i="13"/>
  <c r="H17" i="13"/>
  <c r="H21" i="13"/>
  <c r="H25" i="13"/>
  <c r="H29" i="13"/>
  <c r="H33" i="13"/>
  <c r="D58" i="13"/>
  <c r="H5" i="13"/>
  <c r="E55" i="13"/>
  <c r="I5" i="13"/>
  <c r="D57" i="13"/>
  <c r="E58" i="13"/>
  <c r="F5" i="13"/>
  <c r="F56" i="11"/>
  <c r="G51" i="11"/>
  <c r="K47" i="11"/>
  <c r="G13" i="11"/>
  <c r="F58" i="11"/>
  <c r="F55" i="11"/>
  <c r="K9" i="11"/>
  <c r="E57" i="11"/>
  <c r="K51" i="11"/>
  <c r="G47" i="11"/>
  <c r="K33" i="11"/>
  <c r="K29" i="11"/>
  <c r="K25" i="11"/>
  <c r="G21" i="11"/>
  <c r="K17" i="11"/>
  <c r="K13" i="11"/>
  <c r="J9" i="11"/>
  <c r="E56" i="11"/>
  <c r="J13" i="11"/>
  <c r="G29" i="11"/>
  <c r="J51" i="11"/>
  <c r="J47" i="11"/>
  <c r="J33" i="11"/>
  <c r="J29" i="11"/>
  <c r="J25" i="11"/>
  <c r="J21" i="11"/>
  <c r="J17" i="11"/>
  <c r="I13" i="11"/>
  <c r="I9" i="11"/>
  <c r="G9" i="11"/>
  <c r="G17" i="11"/>
  <c r="G33" i="11"/>
  <c r="D55" i="11"/>
  <c r="D56" i="11"/>
  <c r="D57" i="11"/>
  <c r="D58" i="11"/>
  <c r="H9" i="11"/>
  <c r="H13" i="11"/>
  <c r="H17" i="11"/>
  <c r="H21" i="11"/>
  <c r="H25" i="11"/>
  <c r="H29" i="11"/>
  <c r="H33" i="11"/>
  <c r="H47" i="11"/>
  <c r="H51" i="11"/>
  <c r="I17" i="11"/>
  <c r="I21" i="11"/>
  <c r="I25" i="11"/>
  <c r="I29" i="11"/>
  <c r="I33" i="11"/>
  <c r="I47" i="11"/>
  <c r="I51" i="11"/>
  <c r="B42" i="10"/>
  <c r="B36" i="10"/>
  <c r="B35" i="10"/>
  <c r="B31" i="10"/>
  <c r="D42" i="10"/>
  <c r="D39" i="10"/>
  <c r="D45" i="10"/>
  <c r="C25" i="10"/>
  <c r="D15" i="10"/>
  <c r="O55" i="1"/>
  <c r="N55" i="1"/>
  <c r="E41" i="9"/>
  <c r="E20" i="9"/>
  <c r="E42" i="9"/>
  <c r="D23" i="9"/>
  <c r="D30" i="9"/>
  <c r="C12" i="9"/>
  <c r="C33" i="9"/>
  <c r="C36" i="9"/>
  <c r="B24" i="9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5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5" i="1"/>
  <c r="B8" i="10" l="1"/>
  <c r="D8" i="9"/>
  <c r="C8" i="9"/>
  <c r="C8" i="10"/>
  <c r="E8" i="9"/>
  <c r="D8" i="10"/>
  <c r="J55" i="13"/>
  <c r="I58" i="13"/>
  <c r="A13" i="10"/>
  <c r="J58" i="11"/>
  <c r="K55" i="11"/>
  <c r="F55" i="13"/>
  <c r="G56" i="13"/>
  <c r="H57" i="13"/>
  <c r="G55" i="11"/>
  <c r="I57" i="11"/>
  <c r="H56" i="11"/>
  <c r="A16" i="10"/>
  <c r="A14" i="10"/>
  <c r="A11" i="10"/>
  <c r="A15" i="10"/>
  <c r="A19" i="10"/>
  <c r="A24" i="10"/>
  <c r="A41" i="10"/>
  <c r="A35" i="10"/>
  <c r="A44" i="10"/>
  <c r="A22" i="10"/>
  <c r="A38" i="10"/>
  <c r="A23" i="10"/>
  <c r="A39" i="10"/>
  <c r="A32" i="10"/>
  <c r="A26" i="10"/>
  <c r="A42" i="10"/>
  <c r="A12" i="10"/>
  <c r="A37" i="10"/>
  <c r="A20" i="10"/>
  <c r="A27" i="10"/>
  <c r="A43" i="10"/>
  <c r="A36" i="10"/>
  <c r="A30" i="10"/>
  <c r="A29" i="10"/>
  <c r="A21" i="10"/>
  <c r="A28" i="10"/>
  <c r="A17" i="10"/>
  <c r="A33" i="10"/>
  <c r="A45" i="10"/>
  <c r="A25" i="10"/>
  <c r="A31" i="10"/>
  <c r="A40" i="10"/>
  <c r="A18" i="10"/>
  <c r="A34" i="10"/>
  <c r="B23" i="9"/>
  <c r="A23" i="9" s="1"/>
  <c r="B39" i="9"/>
  <c r="B31" i="9"/>
  <c r="A31" i="9" s="1"/>
  <c r="A44" i="9"/>
  <c r="A21" i="9"/>
  <c r="A37" i="9"/>
  <c r="A19" i="9"/>
  <c r="A35" i="9"/>
  <c r="A26" i="9"/>
  <c r="A12" i="9"/>
  <c r="A27" i="9"/>
  <c r="A43" i="9"/>
  <c r="A38" i="9"/>
  <c r="A14" i="9"/>
  <c r="A28" i="9"/>
  <c r="A30" i="9"/>
  <c r="A15" i="9"/>
  <c r="A22" i="9"/>
  <c r="A17" i="9"/>
  <c r="A33" i="9"/>
  <c r="A20" i="9"/>
  <c r="A36" i="9"/>
  <c r="A13" i="9"/>
  <c r="A29" i="9"/>
  <c r="A45" i="9"/>
  <c r="A34" i="9"/>
  <c r="A16" i="9"/>
  <c r="A32" i="9"/>
  <c r="A42" i="9"/>
  <c r="A25" i="9"/>
  <c r="A41" i="9"/>
  <c r="A18" i="9"/>
  <c r="A24" i="9"/>
  <c r="A40" i="9"/>
  <c r="L57" i="1"/>
  <c r="M58" i="1"/>
  <c r="K56" i="1"/>
  <c r="J55" i="1"/>
  <c r="B8" i="9" l="1"/>
  <c r="A39" i="9"/>
  <c r="A11" i="9"/>
</calcChain>
</file>

<file path=xl/sharedStrings.xml><?xml version="1.0" encoding="utf-8"?>
<sst xmlns="http://schemas.openxmlformats.org/spreadsheetml/2006/main" count="492" uniqueCount="96">
  <si>
    <t>أ</t>
  </si>
  <si>
    <t>ب</t>
  </si>
  <si>
    <t>ج</t>
  </si>
  <si>
    <t>د</t>
  </si>
  <si>
    <t>الكفاءة الختامية 1</t>
  </si>
  <si>
    <t>الكفاءة الختامية2</t>
  </si>
  <si>
    <t>م1</t>
  </si>
  <si>
    <t>م2</t>
  </si>
  <si>
    <t>م3</t>
  </si>
  <si>
    <t>م4</t>
  </si>
  <si>
    <t>المعنيين بالمعالجة</t>
  </si>
  <si>
    <t xml:space="preserve">اسم التلميذ </t>
  </si>
  <si>
    <t>سلم التقدير</t>
  </si>
  <si>
    <t>البطاقة التحليلية لتقييم الكفاءات الختامية في البعد التكنولوجي</t>
  </si>
  <si>
    <t>المعالجة البيداغوجية لنتائج تقييم مكتسبات مرحلة التعليم الابتدائي</t>
  </si>
  <si>
    <t>تحديد شروط احتراق بعض الغازات و مخاطر الاحتراق الغير آمن</t>
  </si>
  <si>
    <t>قراءة ارشادات الاستخدام الآمن للمواد و توظيفها</t>
  </si>
  <si>
    <t>اختيار المنبع المناسب لتغذية الأجهزة الكهربائية مع الأمن</t>
  </si>
  <si>
    <t>الالتزام بالقواعد الأمنية للحماية من مخاطر التكهرب</t>
  </si>
  <si>
    <t>تفسير الظواهر الفلكية
حركة الأرض مع الشمس</t>
  </si>
  <si>
    <t>ابراز مميزات الفصول الأربعة</t>
  </si>
  <si>
    <t>تكييف الأنشطة الحياتية 
مع متطلبات و خصائص كل فصل</t>
  </si>
  <si>
    <t>وزارة التربية الوطنية</t>
  </si>
  <si>
    <t>2023 - 2024</t>
  </si>
  <si>
    <t>الأستاذ محمد صوان</t>
  </si>
  <si>
    <t>المساعد1</t>
  </si>
  <si>
    <t>المساعد2</t>
  </si>
  <si>
    <t>الرقم</t>
  </si>
  <si>
    <t>حسب م1</t>
  </si>
  <si>
    <t>حسب م2</t>
  </si>
  <si>
    <t>حسب م3</t>
  </si>
  <si>
    <t>حسب م4</t>
  </si>
  <si>
    <t>المساعد3</t>
  </si>
  <si>
    <t>المساعد4</t>
  </si>
  <si>
    <t>قائمة التلاميذ المعنيين بالمعالجة (الفئة  ج + د) حسب المعايير  الكفاءة الختامية 1</t>
  </si>
  <si>
    <t xml:space="preserve"> ك.خ.1</t>
  </si>
  <si>
    <t xml:space="preserve"> ك.خ.2</t>
  </si>
  <si>
    <t xml:space="preserve">   مديرية التربية لولاية وهران</t>
  </si>
  <si>
    <t xml:space="preserve">   متوسطة المجاهد بوكرش محمد</t>
  </si>
  <si>
    <t xml:space="preserve">    مادة العلوم الفيزيائية و التكنولوجيا</t>
  </si>
  <si>
    <t>قائمة التلاميذ المعنيين بالمعالجة (الفئة  ج + د) حسب المعايير  الكفاءة الختامية 2</t>
  </si>
  <si>
    <t>في الكفاءة الختامية 1</t>
  </si>
  <si>
    <t>في الكفاءة الختامية 2</t>
  </si>
  <si>
    <t>غ</t>
  </si>
  <si>
    <t>الغياب</t>
  </si>
  <si>
    <t>قسم: 1 م 3</t>
  </si>
  <si>
    <t>مديرية التربية لولاية وهران</t>
  </si>
  <si>
    <t>31_med@live.fr</t>
  </si>
  <si>
    <t>هذا العمل عبارة عن برنامج يسهل عملية استخراج قوائم التلاميذ المعنيين بالمعالجة</t>
  </si>
  <si>
    <t>ملاحظة : المعلومات يتم ملؤها في الصفحة "بيانات التلاميذ في المادة" فقط !</t>
  </si>
  <si>
    <t>يمكن تفريغ البرنامج بتظليل الخانات و رز Suppr</t>
  </si>
  <si>
    <t>عن طريق نسخ- لصق  من ملف  البطاقة التحليلية موضحة في الصورة</t>
  </si>
  <si>
    <r>
      <t xml:space="preserve">برمجة الأستاذ: </t>
    </r>
    <r>
      <rPr>
        <sz val="12"/>
        <color rgb="FF0070C0"/>
        <rFont val="ae_Ostorah"/>
        <family val="1"/>
      </rPr>
      <t>صوان محمد</t>
    </r>
  </si>
  <si>
    <t>ريتاج أمبارك</t>
  </si>
  <si>
    <t>محمد الرشيد بربارة</t>
  </si>
  <si>
    <t>محمد عماد الدين بلمختار</t>
  </si>
  <si>
    <t>بن علي بن زوبير</t>
  </si>
  <si>
    <t>محمد إسلام بن زينب</t>
  </si>
  <si>
    <t>مارية بن طاع الله</t>
  </si>
  <si>
    <t>محمد بن طيب</t>
  </si>
  <si>
    <t>نضال سليم بن عابد</t>
  </si>
  <si>
    <t>شهرزاد بوراس</t>
  </si>
  <si>
    <t>فراح بوزيتونة</t>
  </si>
  <si>
    <t>ياسر عبد المالك بوعلام</t>
  </si>
  <si>
    <t>ابراهيم الخليل بومالة</t>
  </si>
  <si>
    <t>عبد القادر بونوح</t>
  </si>
  <si>
    <t>أنفال تجيني</t>
  </si>
  <si>
    <t>محمد عبد الرحمان تواتي</t>
  </si>
  <si>
    <t>أسماء جوماد</t>
  </si>
  <si>
    <t>يونس لطفي حراث</t>
  </si>
  <si>
    <t>فريال قطر الندى دهوي</t>
  </si>
  <si>
    <t>مايا سبيحي</t>
  </si>
  <si>
    <t>مصطفى محمد سماحي</t>
  </si>
  <si>
    <t>محمد شريتي</t>
  </si>
  <si>
    <t>زهير شقرون</t>
  </si>
  <si>
    <t>فايزة شلابي</t>
  </si>
  <si>
    <t>قمر زوبيدة عبد اللالة</t>
  </si>
  <si>
    <t>دعاء خيرة فارس</t>
  </si>
  <si>
    <t>حجلة مروة فلوحي</t>
  </si>
  <si>
    <t>مريم قبلي</t>
  </si>
  <si>
    <t>بشرى لحرش</t>
  </si>
  <si>
    <t>انس لحمر عبو</t>
  </si>
  <si>
    <t>مريم لوني</t>
  </si>
  <si>
    <t>وليد مالك</t>
  </si>
  <si>
    <t>ايمن منور مبخوت</t>
  </si>
  <si>
    <t>اشرف مبربش</t>
  </si>
  <si>
    <t>رميساء محمدي</t>
  </si>
  <si>
    <t>إبتهال مخطار أفغول</t>
  </si>
  <si>
    <t>مروى مخفي</t>
  </si>
  <si>
    <t>شهاب عبدالإله مديوني</t>
  </si>
  <si>
    <t>عبد الرحمان مغدوري</t>
  </si>
  <si>
    <t>معاذ مقدم</t>
  </si>
  <si>
    <t>هبة مول الخلوة</t>
  </si>
  <si>
    <t>سحر ميسوم</t>
  </si>
  <si>
    <t>احمد وائل الحسين وراد</t>
  </si>
  <si>
    <t>سارة يحياوي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</si>
</sst>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2"/>
      <color rgb="FFC00000"/>
      <name val="Times New Roman"/>
      <family val="1"/>
    </font>
    <font>
      <sz val="12"/>
      <color theme="1"/>
      <name val="Times New Roman"/>
      <family val="1"/>
    </font>
    <font>
      <sz val="14"/>
      <color rgb="FFFFFF00"/>
      <name val="Arial"/>
      <family val="2"/>
      <charset val="178"/>
    </font>
    <font>
      <b/>
      <sz val="14"/>
      <name val="Arial"/>
      <family val="2"/>
    </font>
    <font>
      <b/>
      <sz val="14"/>
      <name val="Monotype Koufi"/>
      <charset val="178"/>
    </font>
    <font>
      <b/>
      <sz val="16"/>
      <name val="Monotype Koufi"/>
      <charset val="178"/>
    </font>
    <font>
      <sz val="8"/>
      <name val="Calibri"/>
      <family val="2"/>
      <scheme val="minor"/>
    </font>
    <font>
      <b/>
      <sz val="16"/>
      <color theme="1"/>
      <name val="ae_AlMateen"/>
      <family val="1"/>
    </font>
    <font>
      <b/>
      <sz val="16"/>
      <name val="Sultan  koufi"/>
      <charset val="178"/>
    </font>
    <font>
      <b/>
      <sz val="12"/>
      <color theme="1"/>
      <name val="Calibri"/>
      <family val="2"/>
      <scheme val="minor"/>
    </font>
    <font>
      <sz val="16"/>
      <name val="Times New Roman"/>
      <family val="1"/>
    </font>
    <font>
      <sz val="14"/>
      <color theme="1"/>
      <name val="ae_AlMatee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u/>
      <sz val="11"/>
      <color rgb="FF0000FF"/>
      <name val="Calibri"/>
      <family val="2"/>
    </font>
    <font>
      <b/>
      <i/>
      <sz val="14"/>
      <color rgb="FF000000"/>
      <name val="Calibri"/>
      <family val="2"/>
    </font>
    <font>
      <sz val="12"/>
      <color rgb="FF000000"/>
      <name val="ae_Ostorah"/>
      <family val="1"/>
    </font>
    <font>
      <sz val="12"/>
      <color rgb="FF0070C0"/>
      <name val="ae_Ostorah"/>
      <family val="1"/>
    </font>
    <font>
      <b/>
      <sz val="14"/>
      <color rgb="FF000000"/>
      <name val="ae_AlBattar"/>
      <family val="1"/>
    </font>
    <font>
      <b/>
      <sz val="18"/>
      <color rgb="FF000000"/>
      <name val="ae_AlBattar"/>
      <family val="1"/>
    </font>
    <font>
      <sz val="14"/>
      <name val="Times New Roman"/>
      <family val="1"/>
    </font>
    <font>
      <b/>
      <sz val="14"/>
      <color theme="1"/>
      <name val="ae_AlMateen"/>
      <family val="1"/>
    </font>
    <font>
      <b/>
      <sz val="20"/>
      <color rgb="FFC0000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CE2D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2D050"/>
        <bgColor indexed="64"/>
      </patternFill>
    </fill>
    <fill>
      <gradientFill degree="90">
        <stop position="0">
          <color theme="1"/>
        </stop>
        <stop position="0.5">
          <color rgb="FF002060"/>
        </stop>
        <stop position="1">
          <color theme="1"/>
        </stop>
      </gradientFill>
    </fill>
    <fill>
      <patternFill patternType="solid">
        <fgColor rgb="FFFF3232"/>
        <bgColor indexed="64"/>
      </patternFill>
    </fill>
    <fill>
      <patternFill patternType="solid">
        <fgColor rgb="FF5BFFA5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9" borderId="14" applyAlignment="0">
      <alignment horizontal="center" vertical="center"/>
      <protection locked="0"/>
    </xf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51">
    <xf numFmtId="0" fontId="0" fillId="0" borderId="0" xfId="0"/>
    <xf numFmtId="0" fontId="19" fillId="0" borderId="0" xfId="0" applyFont="1" applyBorder="1" applyProtection="1">
      <protection hidden="1"/>
    </xf>
    <xf numFmtId="0" fontId="19" fillId="0" borderId="0" xfId="0" applyFont="1" applyProtection="1">
      <protection hidden="1"/>
    </xf>
    <xf numFmtId="0" fontId="20" fillId="36" borderId="13" xfId="0" applyFont="1" applyFill="1" applyBorder="1" applyAlignment="1" applyProtection="1">
      <alignment horizontal="center" vertical="center" wrapText="1"/>
      <protection hidden="1"/>
    </xf>
    <xf numFmtId="0" fontId="20" fillId="37" borderId="13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Protection="1">
      <protection hidden="1"/>
    </xf>
    <xf numFmtId="0" fontId="19" fillId="0" borderId="0" xfId="0" applyFont="1" applyBorder="1" applyAlignment="1" applyProtection="1">
      <alignment horizontal="center"/>
      <protection hidden="1"/>
    </xf>
    <xf numFmtId="0" fontId="18" fillId="0" borderId="0" xfId="0" applyFont="1" applyAlignment="1" applyProtection="1">
      <alignment horizontal="center"/>
      <protection hidden="1"/>
    </xf>
    <xf numFmtId="0" fontId="18" fillId="0" borderId="0" xfId="0" applyFont="1" applyBorder="1" applyProtection="1">
      <protection hidden="1"/>
    </xf>
    <xf numFmtId="0" fontId="23" fillId="0" borderId="0" xfId="0" applyFont="1" applyProtection="1">
      <protection hidden="1"/>
    </xf>
    <xf numFmtId="0" fontId="0" fillId="0" borderId="0" xfId="0" applyProtection="1"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21" fillId="41" borderId="16" xfId="0" applyFont="1" applyFill="1" applyBorder="1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21" fillId="33" borderId="10" xfId="0" applyFont="1" applyFill="1" applyBorder="1" applyAlignment="1" applyProtection="1">
      <alignment horizontal="center" vertical="center" wrapText="1"/>
      <protection hidden="1"/>
    </xf>
    <xf numFmtId="0" fontId="21" fillId="38" borderId="10" xfId="0" applyFont="1" applyFill="1" applyBorder="1" applyAlignment="1" applyProtection="1">
      <alignment horizontal="center" vertical="center" wrapText="1"/>
      <protection hidden="1"/>
    </xf>
    <xf numFmtId="0" fontId="21" fillId="34" borderId="10" xfId="0" applyFont="1" applyFill="1" applyBorder="1" applyAlignment="1" applyProtection="1">
      <alignment horizontal="center" vertical="center" wrapText="1"/>
      <protection hidden="1"/>
    </xf>
    <xf numFmtId="0" fontId="21" fillId="40" borderId="10" xfId="0" applyFont="1" applyFill="1" applyBorder="1" applyAlignment="1" applyProtection="1">
      <alignment horizontal="center" vertical="center" wrapText="1"/>
      <protection hidden="1"/>
    </xf>
    <xf numFmtId="0" fontId="22" fillId="0" borderId="10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21" fillId="41" borderId="25" xfId="0" applyFont="1" applyFill="1" applyBorder="1" applyAlignment="1" applyProtection="1">
      <alignment horizontal="center" vertical="center" wrapText="1"/>
      <protection hidden="1"/>
    </xf>
    <xf numFmtId="0" fontId="21" fillId="0" borderId="17" xfId="0" applyFont="1" applyBorder="1" applyAlignment="1" applyProtection="1">
      <alignment horizontal="center"/>
      <protection hidden="1"/>
    </xf>
    <xf numFmtId="0" fontId="20" fillId="36" borderId="28" xfId="0" applyFont="1" applyFill="1" applyBorder="1" applyAlignment="1" applyProtection="1">
      <alignment horizontal="center" vertical="center" wrapText="1"/>
      <protection hidden="1"/>
    </xf>
    <xf numFmtId="0" fontId="20" fillId="36" borderId="29" xfId="0" applyFont="1" applyFill="1" applyBorder="1" applyAlignment="1" applyProtection="1">
      <alignment horizontal="center" vertical="center" wrapText="1"/>
      <protection hidden="1"/>
    </xf>
    <xf numFmtId="0" fontId="20" fillId="36" borderId="30" xfId="0" applyFont="1" applyFill="1" applyBorder="1" applyAlignment="1" applyProtection="1">
      <alignment horizontal="center" vertical="center" wrapText="1"/>
      <protection hidden="1"/>
    </xf>
    <xf numFmtId="0" fontId="20" fillId="37" borderId="31" xfId="0" applyFont="1" applyFill="1" applyBorder="1" applyAlignment="1" applyProtection="1">
      <alignment horizontal="center" vertical="center" wrapText="1"/>
      <protection hidden="1"/>
    </xf>
    <xf numFmtId="0" fontId="20" fillId="37" borderId="29" xfId="0" applyFont="1" applyFill="1" applyBorder="1" applyAlignment="1" applyProtection="1">
      <alignment horizontal="center" vertical="center" wrapText="1"/>
      <protection hidden="1"/>
    </xf>
    <xf numFmtId="0" fontId="20" fillId="37" borderId="12" xfId="0" applyFont="1" applyFill="1" applyBorder="1" applyAlignment="1" applyProtection="1">
      <alignment horizontal="center" vertical="center" wrapText="1"/>
      <protection hidden="1"/>
    </xf>
    <xf numFmtId="0" fontId="29" fillId="0" borderId="16" xfId="0" applyFont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0" fontId="0" fillId="0" borderId="32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readingOrder="2"/>
      <protection hidden="1"/>
    </xf>
    <xf numFmtId="0" fontId="0" fillId="0" borderId="21" xfId="0" applyBorder="1" applyAlignment="1" applyProtection="1">
      <alignment readingOrder="2"/>
      <protection hidden="1"/>
    </xf>
    <xf numFmtId="0" fontId="0" fillId="0" borderId="22" xfId="0" applyBorder="1" applyAlignment="1" applyProtection="1">
      <alignment readingOrder="2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0" fontId="29" fillId="0" borderId="10" xfId="0" applyFont="1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vertical="center" wrapText="1"/>
      <protection hidden="1"/>
    </xf>
    <xf numFmtId="0" fontId="20" fillId="0" borderId="10" xfId="0" applyFont="1" applyBorder="1" applyAlignment="1" applyProtection="1">
      <alignment vertical="center" wrapText="1"/>
      <protection hidden="1"/>
    </xf>
    <xf numFmtId="0" fontId="32" fillId="0" borderId="10" xfId="0" applyFont="1" applyBorder="1" applyAlignment="1" applyProtection="1">
      <alignment vertical="center" shrinkToFit="1" readingOrder="2"/>
      <protection locked="0"/>
    </xf>
    <xf numFmtId="0" fontId="20" fillId="35" borderId="10" xfId="0" applyFont="1" applyFill="1" applyBorder="1" applyAlignment="1" applyProtection="1">
      <alignment horizontal="center" vertical="center" wrapText="1"/>
      <protection hidden="1"/>
    </xf>
    <xf numFmtId="0" fontId="20" fillId="0" borderId="10" xfId="0" applyFont="1" applyBorder="1" applyAlignment="1" applyProtection="1">
      <alignment horizontal="center" vertical="center" wrapText="1"/>
      <protection hidden="1"/>
    </xf>
    <xf numFmtId="0" fontId="29" fillId="0" borderId="26" xfId="0" applyFont="1" applyBorder="1" applyAlignment="1" applyProtection="1">
      <alignment horizontal="center" vertical="center"/>
      <protection hidden="1"/>
    </xf>
    <xf numFmtId="0" fontId="29" fillId="0" borderId="11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29" fillId="0" borderId="0" xfId="0" applyFont="1" applyBorder="1" applyAlignment="1" applyProtection="1">
      <alignment horizontal="center" vertical="center"/>
      <protection hidden="1"/>
    </xf>
    <xf numFmtId="9" fontId="0" fillId="0" borderId="10" xfId="43" applyFont="1" applyBorder="1" applyAlignment="1" applyProtection="1">
      <alignment horizontal="center" vertical="center"/>
      <protection hidden="1"/>
    </xf>
    <xf numFmtId="0" fontId="29" fillId="42" borderId="10" xfId="0" applyFont="1" applyFill="1" applyBorder="1" applyAlignment="1" applyProtection="1">
      <alignment horizontal="center" vertical="center"/>
      <protection hidden="1"/>
    </xf>
    <xf numFmtId="0" fontId="18" fillId="0" borderId="10" xfId="0" applyFont="1" applyBorder="1" applyAlignment="1" applyProtection="1">
      <alignment horizontal="center"/>
      <protection hidden="1"/>
    </xf>
    <xf numFmtId="0" fontId="0" fillId="0" borderId="34" xfId="0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6" xfId="0" applyBorder="1" applyAlignment="1" applyProtection="1">
      <alignment horizontal="center" vertical="center"/>
      <protection hidden="1"/>
    </xf>
    <xf numFmtId="0" fontId="29" fillId="0" borderId="40" xfId="0" applyFont="1" applyBorder="1" applyAlignment="1" applyProtection="1">
      <alignment horizontal="center" vertical="center"/>
      <protection hidden="1"/>
    </xf>
    <xf numFmtId="9" fontId="0" fillId="0" borderId="41" xfId="43" applyFont="1" applyBorder="1" applyAlignment="1" applyProtection="1">
      <alignment horizontal="center" vertical="center"/>
      <protection hidden="1"/>
    </xf>
    <xf numFmtId="9" fontId="0" fillId="0" borderId="42" xfId="43" applyFont="1" applyBorder="1" applyAlignment="1" applyProtection="1">
      <alignment horizontal="center" vertical="center"/>
      <protection hidden="1"/>
    </xf>
    <xf numFmtId="0" fontId="29" fillId="0" borderId="32" xfId="0" applyFont="1" applyBorder="1" applyAlignment="1" applyProtection="1">
      <alignment horizontal="center" vertical="center"/>
      <protection hidden="1"/>
    </xf>
    <xf numFmtId="9" fontId="0" fillId="0" borderId="33" xfId="43" applyFont="1" applyBorder="1" applyAlignment="1" applyProtection="1">
      <alignment horizontal="center" vertical="center"/>
      <protection hidden="1"/>
    </xf>
    <xf numFmtId="9" fontId="0" fillId="0" borderId="35" xfId="43" applyFont="1" applyBorder="1" applyAlignment="1" applyProtection="1">
      <alignment horizontal="center" vertical="center"/>
      <protection hidden="1"/>
    </xf>
    <xf numFmtId="9" fontId="0" fillId="0" borderId="36" xfId="43" applyFont="1" applyBorder="1" applyAlignment="1" applyProtection="1">
      <alignment horizontal="center" vertical="center"/>
      <protection hidden="1"/>
    </xf>
    <xf numFmtId="0" fontId="0" fillId="0" borderId="39" xfId="0" applyBorder="1" applyAlignment="1" applyProtection="1">
      <alignment horizontal="center" vertical="center"/>
      <protection hidden="1"/>
    </xf>
    <xf numFmtId="0" fontId="21" fillId="0" borderId="10" xfId="0" applyFont="1" applyBorder="1" applyAlignment="1" applyProtection="1">
      <alignment horizontal="center" vertical="center"/>
      <protection hidden="1"/>
    </xf>
    <xf numFmtId="0" fontId="0" fillId="0" borderId="23" xfId="0" applyBorder="1" applyProtection="1">
      <protection locked="0"/>
    </xf>
    <xf numFmtId="0" fontId="26" fillId="0" borderId="0" xfId="0" applyFont="1" applyBorder="1" applyAlignment="1" applyProtection="1">
      <alignment horizontal="center" vertical="center" shrinkToFit="1" readingOrder="2"/>
      <protection locked="0"/>
    </xf>
    <xf numFmtId="0" fontId="26" fillId="0" borderId="0" xfId="0" applyFont="1" applyBorder="1" applyAlignment="1" applyProtection="1">
      <alignment horizontal="center" vertical="center" shrinkToFit="1" readingOrder="2"/>
      <protection hidden="1"/>
    </xf>
    <xf numFmtId="0" fontId="33" fillId="0" borderId="34" xfId="0" applyFont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alignment horizontal="center" vertical="center"/>
      <protection hidden="1"/>
    </xf>
    <xf numFmtId="0" fontId="0" fillId="0" borderId="33" xfId="0" applyBorder="1" applyProtection="1">
      <protection hidden="1"/>
    </xf>
    <xf numFmtId="0" fontId="26" fillId="0" borderId="0" xfId="0" applyFont="1" applyBorder="1" applyAlignment="1" applyProtection="1">
      <alignment horizontal="center" vertical="center" shrinkToFit="1" readingOrder="2"/>
      <protection locked="0"/>
    </xf>
    <xf numFmtId="0" fontId="26" fillId="0" borderId="0" xfId="0" applyFont="1" applyBorder="1" applyAlignment="1" applyProtection="1">
      <alignment horizontal="center" vertical="center" shrinkToFit="1" readingOrder="2"/>
      <protection hidden="1"/>
    </xf>
    <xf numFmtId="0" fontId="35" fillId="0" borderId="0" xfId="0" applyFont="1" applyProtection="1">
      <protection hidden="1"/>
    </xf>
    <xf numFmtId="0" fontId="35" fillId="0" borderId="0" xfId="0" applyFont="1" applyAlignment="1" applyProtection="1">
      <alignment vertical="center"/>
      <protection hidden="1"/>
    </xf>
    <xf numFmtId="0" fontId="37" fillId="0" borderId="0" xfId="44" applyFont="1" applyAlignment="1" applyProtection="1">
      <alignment horizontal="center" vertical="center"/>
      <protection hidden="1"/>
    </xf>
    <xf numFmtId="0" fontId="38" fillId="0" borderId="0" xfId="0" applyFont="1" applyProtection="1">
      <protection hidden="1"/>
    </xf>
    <xf numFmtId="0" fontId="20" fillId="42" borderId="0" xfId="0" applyFont="1" applyFill="1" applyBorder="1" applyAlignment="1" applyProtection="1">
      <alignment horizontal="center" vertical="center" wrapText="1"/>
      <protection hidden="1"/>
    </xf>
    <xf numFmtId="0" fontId="20" fillId="36" borderId="10" xfId="0" applyFont="1" applyFill="1" applyBorder="1" applyAlignment="1" applyProtection="1">
      <alignment horizontal="center" vertical="center" wrapText="1"/>
      <protection hidden="1"/>
    </xf>
    <xf numFmtId="0" fontId="20" fillId="37" borderId="10" xfId="0" applyFont="1" applyFill="1" applyBorder="1" applyAlignment="1" applyProtection="1">
      <alignment horizontal="center" vertical="center" wrapText="1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31" fillId="0" borderId="45" xfId="0" applyFont="1" applyBorder="1" applyAlignment="1" applyProtection="1">
      <alignment horizontal="center" vertical="center" readingOrder="2"/>
      <protection hidden="1"/>
    </xf>
    <xf numFmtId="0" fontId="31" fillId="0" borderId="15" xfId="0" applyFont="1" applyBorder="1" applyAlignment="1" applyProtection="1">
      <alignment horizontal="center" vertical="center" readingOrder="2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31" fillId="0" borderId="37" xfId="0" applyFont="1" applyBorder="1" applyAlignment="1" applyProtection="1">
      <alignment horizontal="center" vertical="center" readingOrder="2"/>
      <protection hidden="1"/>
    </xf>
    <xf numFmtId="0" fontId="21" fillId="33" borderId="10" xfId="0" applyFont="1" applyFill="1" applyBorder="1" applyAlignment="1" applyProtection="1">
      <alignment horizontal="center" wrapText="1"/>
      <protection hidden="1"/>
    </xf>
    <xf numFmtId="0" fontId="21" fillId="33" borderId="25" xfId="0" applyFont="1" applyFill="1" applyBorder="1" applyAlignment="1" applyProtection="1">
      <alignment horizontal="center" vertical="center" wrapText="1"/>
      <protection hidden="1"/>
    </xf>
    <xf numFmtId="0" fontId="21" fillId="38" borderId="10" xfId="0" applyFont="1" applyFill="1" applyBorder="1" applyAlignment="1" applyProtection="1">
      <alignment horizontal="center" wrapText="1"/>
      <protection hidden="1"/>
    </xf>
    <xf numFmtId="0" fontId="18" fillId="38" borderId="0" xfId="0" applyFont="1" applyFill="1" applyProtection="1">
      <protection hidden="1"/>
    </xf>
    <xf numFmtId="0" fontId="21" fillId="38" borderId="11" xfId="0" applyFont="1" applyFill="1" applyBorder="1" applyAlignment="1" applyProtection="1">
      <alignment horizontal="center" vertical="center" wrapText="1"/>
      <protection hidden="1"/>
    </xf>
    <xf numFmtId="0" fontId="18" fillId="38" borderId="17" xfId="0" applyFont="1" applyFill="1" applyBorder="1" applyProtection="1">
      <protection hidden="1"/>
    </xf>
    <xf numFmtId="0" fontId="21" fillId="34" borderId="10" xfId="0" applyFont="1" applyFill="1" applyBorder="1" applyAlignment="1" applyProtection="1">
      <alignment horizontal="center" wrapText="1"/>
      <protection hidden="1"/>
    </xf>
    <xf numFmtId="0" fontId="18" fillId="34" borderId="18" xfId="0" applyFont="1" applyFill="1" applyBorder="1" applyProtection="1">
      <protection hidden="1"/>
    </xf>
    <xf numFmtId="0" fontId="18" fillId="34" borderId="16" xfId="0" applyFont="1" applyFill="1" applyBorder="1" applyProtection="1">
      <protection hidden="1"/>
    </xf>
    <xf numFmtId="0" fontId="18" fillId="34" borderId="19" xfId="0" applyFont="1" applyFill="1" applyBorder="1" applyProtection="1">
      <protection hidden="1"/>
    </xf>
    <xf numFmtId="0" fontId="18" fillId="34" borderId="17" xfId="0" applyFont="1" applyFill="1" applyBorder="1" applyProtection="1">
      <protection hidden="1"/>
    </xf>
    <xf numFmtId="0" fontId="18" fillId="40" borderId="19" xfId="0" applyFont="1" applyFill="1" applyBorder="1" applyProtection="1">
      <protection hidden="1"/>
    </xf>
    <xf numFmtId="0" fontId="18" fillId="40" borderId="17" xfId="0" applyFont="1" applyFill="1" applyBorder="1" applyProtection="1">
      <protection hidden="1"/>
    </xf>
    <xf numFmtId="0" fontId="21" fillId="40" borderId="10" xfId="0" applyFont="1" applyFill="1" applyBorder="1" applyAlignment="1" applyProtection="1">
      <alignment horizontal="center" wrapText="1"/>
      <protection hidden="1"/>
    </xf>
    <xf numFmtId="0" fontId="18" fillId="40" borderId="18" xfId="0" applyFont="1" applyFill="1" applyBorder="1" applyProtection="1">
      <protection hidden="1"/>
    </xf>
    <xf numFmtId="0" fontId="18" fillId="40" borderId="16" xfId="0" applyFont="1" applyFill="1" applyBorder="1" applyProtection="1">
      <protection hidden="1"/>
    </xf>
    <xf numFmtId="0" fontId="43" fillId="0" borderId="10" xfId="0" applyFont="1" applyBorder="1" applyAlignment="1" applyProtection="1">
      <alignment horizontal="center" vertical="center" shrinkToFit="1" readingOrder="2"/>
      <protection locked="0"/>
    </xf>
    <xf numFmtId="0" fontId="44" fillId="0" borderId="10" xfId="0" applyFont="1" applyBorder="1" applyAlignment="1" applyProtection="1">
      <alignment horizontal="center" vertical="center"/>
      <protection locked="0"/>
    </xf>
    <xf numFmtId="0" fontId="44" fillId="0" borderId="11" xfId="0" applyFont="1" applyBorder="1" applyAlignment="1" applyProtection="1">
      <alignment horizontal="center" vertical="center"/>
      <protection locked="0"/>
    </xf>
    <xf numFmtId="0" fontId="45" fillId="0" borderId="10" xfId="0" applyFont="1" applyBorder="1" applyAlignment="1" applyProtection="1">
      <alignment horizontal="center" vertical="center"/>
      <protection hidden="1"/>
    </xf>
    <xf numFmtId="0" fontId="44" fillId="0" borderId="10" xfId="0" applyFont="1" applyBorder="1" applyAlignment="1" applyProtection="1">
      <alignment horizontal="center" vertical="center"/>
      <protection hidden="1"/>
    </xf>
    <xf numFmtId="0" fontId="21" fillId="0" borderId="0" xfId="0" applyFont="1" applyBorder="1" applyProtection="1">
      <protection hidden="1"/>
    </xf>
    <xf numFmtId="0" fontId="21" fillId="0" borderId="0" xfId="0" applyFont="1" applyProtection="1">
      <protection hidden="1"/>
    </xf>
    <xf numFmtId="0" fontId="21" fillId="42" borderId="0" xfId="0" applyFont="1" applyFill="1" applyBorder="1" applyProtection="1">
      <protection hidden="1"/>
    </xf>
    <xf numFmtId="0" fontId="20" fillId="35" borderId="10" xfId="0" applyFont="1" applyFill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9" fillId="42" borderId="10" xfId="0" applyFont="1" applyFill="1" applyBorder="1" applyAlignment="1" applyProtection="1">
      <alignment horizontal="center" vertical="center"/>
      <protection hidden="1"/>
    </xf>
    <xf numFmtId="0" fontId="43" fillId="0" borderId="10" xfId="0" applyFont="1" applyBorder="1" applyAlignment="1" applyProtection="1">
      <alignment horizontal="center" vertical="center" shrinkToFit="1" readingOrder="2"/>
      <protection hidden="1"/>
    </xf>
    <xf numFmtId="0" fontId="29" fillId="0" borderId="26" xfId="0" applyFont="1" applyBorder="1" applyAlignment="1" applyProtection="1">
      <alignment horizontal="center" vertical="center"/>
      <protection hidden="1"/>
    </xf>
    <xf numFmtId="0" fontId="29" fillId="0" borderId="27" xfId="0" applyFont="1" applyBorder="1" applyAlignment="1" applyProtection="1">
      <alignment horizontal="center" vertical="center"/>
      <protection hidden="1"/>
    </xf>
    <xf numFmtId="0" fontId="29" fillId="0" borderId="11" xfId="0" applyFont="1" applyBorder="1" applyAlignment="1" applyProtection="1">
      <alignment horizontal="center" vertical="center"/>
      <protection hidden="1"/>
    </xf>
    <xf numFmtId="0" fontId="29" fillId="0" borderId="17" xfId="0" applyFont="1" applyBorder="1" applyAlignment="1" applyProtection="1">
      <alignment horizontal="center" vertical="center"/>
      <protection hidden="1"/>
    </xf>
    <xf numFmtId="0" fontId="20" fillId="0" borderId="10" xfId="0" applyFont="1" applyBorder="1" applyAlignment="1" applyProtection="1">
      <alignment horizontal="center" vertical="center" wrapText="1"/>
      <protection hidden="1"/>
    </xf>
    <xf numFmtId="0" fontId="20" fillId="0" borderId="0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30" fillId="0" borderId="0" xfId="0" applyFont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26" fillId="0" borderId="23" xfId="0" applyFont="1" applyBorder="1" applyAlignment="1" applyProtection="1">
      <alignment horizontal="center" vertical="center" shrinkToFit="1" readingOrder="2"/>
      <protection hidden="1"/>
    </xf>
    <xf numFmtId="0" fontId="26" fillId="0" borderId="0" xfId="0" applyFont="1" applyBorder="1" applyAlignment="1" applyProtection="1">
      <alignment horizontal="center" vertical="center" shrinkToFit="1" readingOrder="2"/>
      <protection hidden="1"/>
    </xf>
    <xf numFmtId="0" fontId="26" fillId="0" borderId="24" xfId="0" applyFont="1" applyBorder="1" applyAlignment="1" applyProtection="1">
      <alignment horizontal="center" vertical="center" shrinkToFit="1" readingOrder="2"/>
      <protection hidden="1"/>
    </xf>
    <xf numFmtId="0" fontId="26" fillId="0" borderId="0" xfId="0" applyFont="1" applyBorder="1" applyAlignment="1" applyProtection="1">
      <alignment horizontal="center" vertical="center" shrinkToFit="1" readingOrder="2"/>
      <protection locked="0"/>
    </xf>
    <xf numFmtId="0" fontId="26" fillId="0" borderId="24" xfId="0" applyFont="1" applyBorder="1" applyAlignment="1" applyProtection="1">
      <alignment horizontal="center" vertical="center" shrinkToFit="1" readingOrder="2"/>
      <protection locked="0"/>
    </xf>
    <xf numFmtId="0" fontId="25" fillId="0" borderId="0" xfId="0" applyFont="1" applyBorder="1" applyAlignment="1" applyProtection="1">
      <alignment horizontal="center" vertical="center" shrinkToFit="1" readingOrder="2"/>
      <protection locked="0"/>
    </xf>
    <xf numFmtId="0" fontId="25" fillId="0" borderId="24" xfId="0" applyFont="1" applyBorder="1" applyAlignment="1" applyProtection="1">
      <alignment horizontal="center" vertical="center" shrinkToFit="1" readingOrder="2"/>
      <protection locked="0"/>
    </xf>
    <xf numFmtId="0" fontId="26" fillId="0" borderId="23" xfId="0" applyFont="1" applyBorder="1" applyAlignment="1" applyProtection="1">
      <alignment horizontal="center" vertical="center" shrinkToFit="1" readingOrder="2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31" fillId="0" borderId="18" xfId="0" applyFont="1" applyBorder="1" applyAlignment="1" applyProtection="1">
      <alignment horizontal="center" vertical="center"/>
      <protection hidden="1"/>
    </xf>
    <xf numFmtId="0" fontId="31" fillId="0" borderId="16" xfId="0" applyFont="1" applyBorder="1" applyAlignment="1" applyProtection="1">
      <alignment horizontal="center" vertical="center"/>
      <protection hidden="1"/>
    </xf>
    <xf numFmtId="0" fontId="31" fillId="0" borderId="48" xfId="0" applyFont="1" applyBorder="1" applyAlignment="1" applyProtection="1">
      <alignment horizontal="center" vertical="center"/>
      <protection hidden="1"/>
    </xf>
    <xf numFmtId="0" fontId="31" fillId="0" borderId="38" xfId="0" applyFont="1" applyBorder="1" applyAlignment="1" applyProtection="1">
      <alignment horizontal="center" vertical="center"/>
      <protection hidden="1"/>
    </xf>
    <xf numFmtId="0" fontId="27" fillId="0" borderId="23" xfId="0" applyFont="1" applyBorder="1" applyAlignment="1" applyProtection="1">
      <alignment horizontal="center" vertical="center" shrinkToFit="1" readingOrder="2"/>
      <protection hidden="1"/>
    </xf>
    <xf numFmtId="0" fontId="27" fillId="0" borderId="0" xfId="0" applyFont="1" applyBorder="1" applyAlignment="1" applyProtection="1">
      <alignment horizontal="center" vertical="center" shrinkToFit="1" readingOrder="2"/>
      <protection hidden="1"/>
    </xf>
    <xf numFmtId="0" fontId="27" fillId="0" borderId="24" xfId="0" applyFont="1" applyBorder="1" applyAlignment="1" applyProtection="1">
      <alignment horizontal="center" vertical="center" shrinkToFit="1" readingOrder="2"/>
      <protection hidden="1"/>
    </xf>
    <xf numFmtId="0" fontId="31" fillId="0" borderId="43" xfId="0" applyFont="1" applyBorder="1" applyAlignment="1" applyProtection="1">
      <alignment horizontal="center" vertical="center"/>
      <protection hidden="1"/>
    </xf>
    <xf numFmtId="0" fontId="31" fillId="0" borderId="44" xfId="0" applyFont="1" applyBorder="1" applyAlignment="1" applyProtection="1">
      <alignment horizontal="center" vertical="center"/>
      <protection hidden="1"/>
    </xf>
    <xf numFmtId="0" fontId="31" fillId="0" borderId="46" xfId="0" applyFont="1" applyBorder="1" applyAlignment="1" applyProtection="1">
      <alignment horizontal="center" vertical="center"/>
      <protection hidden="1"/>
    </xf>
    <xf numFmtId="0" fontId="31" fillId="0" borderId="47" xfId="0" applyFont="1" applyBorder="1" applyAlignment="1" applyProtection="1">
      <alignment horizontal="center" vertical="center"/>
      <protection hidden="1"/>
    </xf>
    <xf numFmtId="0" fontId="31" fillId="0" borderId="0" xfId="0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/>
      <protection hidden="1"/>
    </xf>
    <xf numFmtId="0" fontId="37" fillId="0" borderId="0" xfId="44" applyFont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vertical="top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4" builtinId="8"/>
    <cellStyle name="Neutre" xfId="8" builtinId="28" customBuiltin="1"/>
    <cellStyle name="Normal" xfId="0" builtinId="0"/>
    <cellStyle name="Note" xfId="15" builtinId="10" customBuiltin="1"/>
    <cellStyle name="Pourcentage" xfId="43" builtinId="5"/>
    <cellStyle name="Satisfaisant" xfId="6" builtinId="26" customBuiltin="1"/>
    <cellStyle name="Sortie" xfId="10" builtinId="21" customBuiltin="1"/>
    <cellStyle name="Style 5" xfId="42" xr:uid="{0E4AE389-BD1B-46EB-B43F-45B5C5AE7493}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5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3232"/>
        </patternFill>
      </fill>
    </dxf>
  </dxfs>
  <tableStyles count="0" defaultTableStyle="TableStyleMedium2" defaultPivotStyle="PivotStyleLight16"/>
  <colors>
    <mruColors>
      <color rgb="FFFCE2D4"/>
      <color rgb="FFFF3232"/>
      <color rgb="FF5BFFA5"/>
      <color rgb="FFBBF7BB"/>
      <color rgb="FFFF6464"/>
      <color rgb="FFFF93BF"/>
      <color rgb="FFFEF8F4"/>
      <color rgb="FFF8B996"/>
      <color rgb="FF4DC34D"/>
      <color rgb="FF1181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'بيانات التلاميذ في المادة '!$A$55</c:f>
              <c:strCache>
                <c:ptCount val="1"/>
                <c:pt idx="0">
                  <c:v>أ</c:v>
                </c:pt>
              </c:strCache>
            </c:strRef>
          </c:tx>
          <c:spPr>
            <a:solidFill>
              <a:srgbClr val="118134"/>
            </a:solidFill>
          </c:spPr>
          <c:invertIfNegative val="0"/>
          <c:cat>
            <c:strRef>
              <c:f>'بيانات التلاميذ في المادة '!$Q$5:$Q$11</c:f>
              <c:strCache>
                <c:ptCount val="7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  <c:pt idx="4">
                  <c:v>م1</c:v>
                </c:pt>
                <c:pt idx="5">
                  <c:v>م2</c:v>
                </c:pt>
                <c:pt idx="6">
                  <c:v>م3</c:v>
                </c:pt>
              </c:strCache>
            </c:strRef>
          </c:cat>
          <c:val>
            <c:numRef>
              <c:f>'بيانات التلاميذ في المادة '!$C$55:$I$55</c:f>
              <c:numCache>
                <c:formatCode>General</c:formatCode>
                <c:ptCount val="7"/>
                <c:pt idx="0">
                  <c:v>17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2-4500-83CF-23ED74218933}"/>
            </c:ext>
          </c:extLst>
        </c:ser>
        <c:ser>
          <c:idx val="1"/>
          <c:order val="1"/>
          <c:tx>
            <c:strRef>
              <c:f>'بيانات التلاميذ في المادة '!$A$56</c:f>
              <c:strCache>
                <c:ptCount val="1"/>
                <c:pt idx="0">
                  <c:v>ب</c:v>
                </c:pt>
              </c:strCache>
            </c:strRef>
          </c:tx>
          <c:spPr>
            <a:solidFill>
              <a:srgbClr val="4DC34D"/>
            </a:solidFill>
          </c:spPr>
          <c:invertIfNegative val="0"/>
          <c:cat>
            <c:strRef>
              <c:f>'بيانات التلاميذ في المادة '!$Q$5:$Q$11</c:f>
              <c:strCache>
                <c:ptCount val="7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  <c:pt idx="4">
                  <c:v>م1</c:v>
                </c:pt>
                <c:pt idx="5">
                  <c:v>م2</c:v>
                </c:pt>
                <c:pt idx="6">
                  <c:v>م3</c:v>
                </c:pt>
              </c:strCache>
            </c:strRef>
          </c:cat>
          <c:val>
            <c:numRef>
              <c:f>'بيانات التلاميذ في المادة '!$C$56:$I$56</c:f>
              <c:numCache>
                <c:formatCode>General</c:formatCode>
                <c:ptCount val="7"/>
                <c:pt idx="0">
                  <c:v>13</c:v>
                </c:pt>
                <c:pt idx="1">
                  <c:v>10</c:v>
                </c:pt>
                <c:pt idx="2">
                  <c:v>15</c:v>
                </c:pt>
                <c:pt idx="3">
                  <c:v>13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2-4500-83CF-23ED74218933}"/>
            </c:ext>
          </c:extLst>
        </c:ser>
        <c:ser>
          <c:idx val="2"/>
          <c:order val="2"/>
          <c:tx>
            <c:strRef>
              <c:f>'بيانات التلاميذ في المادة '!$A$57</c:f>
              <c:strCache>
                <c:ptCount val="1"/>
                <c:pt idx="0">
                  <c:v>ج</c:v>
                </c:pt>
              </c:strCache>
            </c:strRef>
          </c:tx>
          <c:spPr>
            <a:solidFill>
              <a:srgbClr val="F8B996"/>
            </a:solidFill>
          </c:spPr>
          <c:invertIfNegative val="0"/>
          <c:cat>
            <c:strRef>
              <c:f>'بيانات التلاميذ في المادة '!$Q$5:$Q$11</c:f>
              <c:strCache>
                <c:ptCount val="7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  <c:pt idx="4">
                  <c:v>م1</c:v>
                </c:pt>
                <c:pt idx="5">
                  <c:v>م2</c:v>
                </c:pt>
                <c:pt idx="6">
                  <c:v>م3</c:v>
                </c:pt>
              </c:strCache>
            </c:strRef>
          </c:cat>
          <c:val>
            <c:numRef>
              <c:f>'بيانات التلاميذ في المادة '!$C$57:$I$57</c:f>
              <c:numCache>
                <c:formatCode>General</c:formatCode>
                <c:ptCount val="7"/>
                <c:pt idx="0">
                  <c:v>7</c:v>
                </c:pt>
                <c:pt idx="1">
                  <c:v>11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2-4500-83CF-23ED74218933}"/>
            </c:ext>
          </c:extLst>
        </c:ser>
        <c:ser>
          <c:idx val="3"/>
          <c:order val="3"/>
          <c:tx>
            <c:strRef>
              <c:f>'بيانات التلاميذ في المادة '!$A$58</c:f>
              <c:strCache>
                <c:ptCount val="1"/>
                <c:pt idx="0">
                  <c:v>د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'بيانات التلاميذ في المادة '!$Q$5:$Q$11</c:f>
              <c:strCache>
                <c:ptCount val="7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  <c:pt idx="4">
                  <c:v>م1</c:v>
                </c:pt>
                <c:pt idx="5">
                  <c:v>م2</c:v>
                </c:pt>
                <c:pt idx="6">
                  <c:v>م3</c:v>
                </c:pt>
              </c:strCache>
            </c:strRef>
          </c:cat>
          <c:val>
            <c:numRef>
              <c:f>'بيانات التلاميذ في المادة '!$C$58:$I$58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62-4500-83CF-23ED74218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514304"/>
        <c:axId val="64545536"/>
        <c:axId val="0"/>
      </c:bar3DChart>
      <c:catAx>
        <c:axId val="6451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DZ" sz="1400"/>
                  <a:t>حسب</a:t>
                </a:r>
                <a:r>
                  <a:rPr lang="ar-DZ" sz="1400" baseline="0"/>
                  <a:t> </a:t>
                </a:r>
                <a:r>
                  <a:rPr lang="ar-DZ" sz="1400"/>
                  <a:t>المعايير</a:t>
                </a:r>
                <a:endParaRPr lang="fr-FR" sz="1400"/>
              </a:p>
            </c:rich>
          </c:tx>
          <c:layout>
            <c:manualLayout>
              <c:xMode val="edge"/>
              <c:yMode val="edge"/>
              <c:x val="0.42809023872016"/>
              <c:y val="0.935580526392534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64545536"/>
        <c:crosses val="autoZero"/>
        <c:auto val="1"/>
        <c:lblAlgn val="ctr"/>
        <c:lblOffset val="100"/>
        <c:noMultiLvlLbl val="0"/>
      </c:catAx>
      <c:valAx>
        <c:axId val="6454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5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473562520972152"/>
          <c:y val="0.3732632558861177"/>
          <c:w val="6.1253866909368376E-2"/>
          <c:h val="0.30930271647078628"/>
        </c:manualLayout>
      </c:layout>
      <c:overlay val="0"/>
      <c:txPr>
        <a:bodyPr/>
        <a:lstStyle/>
        <a:p>
          <a:pPr>
            <a:defRPr sz="1100" b="1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 sz="1800" b="0" i="0" baseline="0">
                <a:effectLst/>
              </a:rPr>
              <a:t>تحليل بايانات القسم بالدائرة النسبية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6939741744763329"/>
          <c:y val="0.23207661542307212"/>
          <c:w val="0.49782078131763985"/>
          <c:h val="0.66474878140232463"/>
        </c:manualLayout>
      </c:layout>
      <c:doughnutChart>
        <c:varyColors val="1"/>
        <c:ser>
          <c:idx val="0"/>
          <c:order val="0"/>
          <c:tx>
            <c:strRef>
              <c:f>'بيانات التلاميذ في المادة '!$A$55:$A$58</c:f>
              <c:strCache>
                <c:ptCount val="1"/>
                <c:pt idx="0">
                  <c:v>أ ب ج د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8A-42D8-BEE1-B72BAB371B2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8A-42D8-BEE1-B72BAB371B26}"/>
              </c:ext>
            </c:extLst>
          </c:dPt>
          <c:dPt>
            <c:idx val="2"/>
            <c:bubble3D val="0"/>
            <c:spPr>
              <a:solidFill>
                <a:srgbClr val="FBD4B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8A-42D8-BEE1-B72BAB371B26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8A-42D8-BEE1-B72BAB371B26}"/>
              </c:ext>
            </c:extLst>
          </c:dPt>
          <c:dLbls>
            <c:dLbl>
              <c:idx val="0"/>
              <c:layout>
                <c:manualLayout>
                  <c:x val="0.11608194592317862"/>
                  <c:y val="-6.54761904761905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8A-42D8-BEE1-B72BAB371B26}"/>
                </c:ext>
              </c:extLst>
            </c:dLbl>
            <c:dLbl>
              <c:idx val="1"/>
              <c:layout>
                <c:manualLayout>
                  <c:x val="-0.11251707206732885"/>
                  <c:y val="0.117724867724867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8A-42D8-BEE1-B72BAB371B26}"/>
                </c:ext>
              </c:extLst>
            </c:dLbl>
            <c:dLbl>
              <c:idx val="2"/>
              <c:layout>
                <c:manualLayout>
                  <c:x val="-0.10895219821147914"/>
                  <c:y val="-6.812169312169316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8A-42D8-BEE1-B72BAB371B26}"/>
                </c:ext>
              </c:extLst>
            </c:dLbl>
            <c:dLbl>
              <c:idx val="3"/>
              <c:layout>
                <c:manualLayout>
                  <c:x val="-3.6844309765885506E-2"/>
                  <c:y val="-0.1329365079365079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8A-42D8-BEE1-B72BAB371B2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'بيانات التلاميذ في المادة '!$J$4:$M$4</c:f>
              <c:strCache>
                <c:ptCount val="4"/>
                <c:pt idx="0">
                  <c:v>أ</c:v>
                </c:pt>
                <c:pt idx="1">
                  <c:v>ب</c:v>
                </c:pt>
                <c:pt idx="2">
                  <c:v>ج</c:v>
                </c:pt>
                <c:pt idx="3">
                  <c:v>د</c:v>
                </c:pt>
              </c:strCache>
            </c:strRef>
          </c:cat>
          <c:val>
            <c:numRef>
              <c:f>('بيانات التلاميذ في المادة '!$J$55,'بيانات التلاميذ في المادة '!$K$56,'بيانات التلاميذ في المادة '!$L$57,'بيانات التلاميذ في المادة '!$M$58)</c:f>
              <c:numCache>
                <c:formatCode>General</c:formatCode>
                <c:ptCount val="4"/>
                <c:pt idx="0">
                  <c:v>124</c:v>
                </c:pt>
                <c:pt idx="1">
                  <c:v>74</c:v>
                </c:pt>
                <c:pt idx="2">
                  <c:v>49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8A-42D8-BEE1-B72BAB371B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'بيانات التلاميذ الكفاءة 1'!$A$55</c:f>
              <c:strCache>
                <c:ptCount val="1"/>
                <c:pt idx="0">
                  <c:v>أ</c:v>
                </c:pt>
              </c:strCache>
            </c:strRef>
          </c:tx>
          <c:spPr>
            <a:solidFill>
              <a:srgbClr val="118134"/>
            </a:solidFill>
          </c:spPr>
          <c:invertIfNegative val="0"/>
          <c:cat>
            <c:strRef>
              <c:f>'بيانات التلاميذ الكفاءة 1'!$M$5:$M$11</c:f>
              <c:strCache>
                <c:ptCount val="4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</c:strCache>
            </c:strRef>
          </c:cat>
          <c:val>
            <c:numRef>
              <c:f>'بيانات التلاميذ الكفاءة 1'!$C$55:$F$55</c:f>
              <c:numCache>
                <c:formatCode>General</c:formatCode>
                <c:ptCount val="4"/>
                <c:pt idx="0">
                  <c:v>17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A-47A7-B9F7-87D30BC7AD5A}"/>
            </c:ext>
          </c:extLst>
        </c:ser>
        <c:ser>
          <c:idx val="1"/>
          <c:order val="1"/>
          <c:tx>
            <c:strRef>
              <c:f>'بيانات التلاميذ الكفاءة 1'!$A$56</c:f>
              <c:strCache>
                <c:ptCount val="1"/>
                <c:pt idx="0">
                  <c:v>ب</c:v>
                </c:pt>
              </c:strCache>
            </c:strRef>
          </c:tx>
          <c:spPr>
            <a:solidFill>
              <a:srgbClr val="4DC34D"/>
            </a:solidFill>
          </c:spPr>
          <c:invertIfNegative val="0"/>
          <c:cat>
            <c:strRef>
              <c:f>'بيانات التلاميذ الكفاءة 1'!$M$5:$M$11</c:f>
              <c:strCache>
                <c:ptCount val="4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</c:strCache>
            </c:strRef>
          </c:cat>
          <c:val>
            <c:numRef>
              <c:f>'بيانات التلاميذ الكفاءة 1'!$C$56:$F$56</c:f>
              <c:numCache>
                <c:formatCode>General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A-47A7-B9F7-87D30BC7AD5A}"/>
            </c:ext>
          </c:extLst>
        </c:ser>
        <c:ser>
          <c:idx val="2"/>
          <c:order val="2"/>
          <c:tx>
            <c:strRef>
              <c:f>'بيانات التلاميذ الكفاءة 1'!$A$57</c:f>
              <c:strCache>
                <c:ptCount val="1"/>
                <c:pt idx="0">
                  <c:v>ج</c:v>
                </c:pt>
              </c:strCache>
            </c:strRef>
          </c:tx>
          <c:spPr>
            <a:solidFill>
              <a:srgbClr val="F8B996"/>
            </a:solidFill>
          </c:spPr>
          <c:invertIfNegative val="0"/>
          <c:cat>
            <c:strRef>
              <c:f>'بيانات التلاميذ الكفاءة 1'!$M$5:$M$11</c:f>
              <c:strCache>
                <c:ptCount val="4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</c:strCache>
            </c:strRef>
          </c:cat>
          <c:val>
            <c:numRef>
              <c:f>'بيانات التلاميذ الكفاءة 1'!$C$57:$F$57</c:f>
              <c:numCache>
                <c:formatCode>General</c:formatCode>
                <c:ptCount val="4"/>
                <c:pt idx="0">
                  <c:v>7</c:v>
                </c:pt>
                <c:pt idx="1">
                  <c:v>11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1A-47A7-B9F7-87D30BC7AD5A}"/>
            </c:ext>
          </c:extLst>
        </c:ser>
        <c:ser>
          <c:idx val="3"/>
          <c:order val="3"/>
          <c:tx>
            <c:strRef>
              <c:f>'بيانات التلاميذ الكفاءة 1'!$A$58</c:f>
              <c:strCache>
                <c:ptCount val="1"/>
                <c:pt idx="0">
                  <c:v>د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'بيانات التلاميذ الكفاءة 1'!$M$5:$M$11</c:f>
              <c:strCache>
                <c:ptCount val="4"/>
                <c:pt idx="0">
                  <c:v>م1</c:v>
                </c:pt>
                <c:pt idx="1">
                  <c:v>م2</c:v>
                </c:pt>
                <c:pt idx="2">
                  <c:v>م3</c:v>
                </c:pt>
                <c:pt idx="3">
                  <c:v>م4</c:v>
                </c:pt>
              </c:strCache>
            </c:strRef>
          </c:cat>
          <c:val>
            <c:numRef>
              <c:f>'بيانات التلاميذ الكفاءة 1'!$C$58:$F$58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1A-47A7-B9F7-87D30BC7A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514304"/>
        <c:axId val="64545536"/>
        <c:axId val="0"/>
      </c:bar3DChart>
      <c:catAx>
        <c:axId val="6451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DZ" sz="1400"/>
                  <a:t>حسب</a:t>
                </a:r>
                <a:r>
                  <a:rPr lang="ar-DZ" sz="1400" baseline="0"/>
                  <a:t> كل </a:t>
                </a:r>
                <a:r>
                  <a:rPr lang="ar-DZ" sz="1400"/>
                  <a:t>معيار</a:t>
                </a:r>
                <a:endParaRPr lang="fr-FR" sz="1400"/>
              </a:p>
            </c:rich>
          </c:tx>
          <c:layout>
            <c:manualLayout>
              <c:xMode val="edge"/>
              <c:yMode val="edge"/>
              <c:x val="0.42213785776777896"/>
              <c:y val="0.940210156022163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64545536"/>
        <c:crosses val="autoZero"/>
        <c:auto val="1"/>
        <c:lblAlgn val="ctr"/>
        <c:lblOffset val="100"/>
        <c:noMultiLvlLbl val="0"/>
      </c:catAx>
      <c:valAx>
        <c:axId val="6454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5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473562520972152"/>
          <c:y val="0.3732632558861177"/>
          <c:w val="6.1253866909368376E-2"/>
          <c:h val="0.30930271647078628"/>
        </c:manualLayout>
      </c:layout>
      <c:overlay val="0"/>
      <c:txPr>
        <a:bodyPr/>
        <a:lstStyle/>
        <a:p>
          <a:pPr>
            <a:defRPr sz="1100" b="1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 sz="1800" b="0" i="0" baseline="0">
                <a:effectLst/>
              </a:rPr>
              <a:t>تحليل بايانات الكفاءة الختامية 1 بالدائرة النسبية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6939741744763329"/>
          <c:y val="0.23207661542307212"/>
          <c:w val="0.49782078131763985"/>
          <c:h val="0.66474878140232463"/>
        </c:manualLayout>
      </c:layout>
      <c:doughnutChart>
        <c:varyColors val="1"/>
        <c:ser>
          <c:idx val="0"/>
          <c:order val="0"/>
          <c:tx>
            <c:strRef>
              <c:f>'بيانات التلاميذ الكفاءة 1'!$B$55:$B$58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8D-4A33-A462-CDB97CEDD38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8D-4A33-A462-CDB97CEDD389}"/>
              </c:ext>
            </c:extLst>
          </c:dPt>
          <c:dPt>
            <c:idx val="2"/>
            <c:bubble3D val="0"/>
            <c:spPr>
              <a:solidFill>
                <a:srgbClr val="FBD4B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8D-4A33-A462-CDB97CEDD389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8D-4A33-A462-CDB97CEDD389}"/>
              </c:ext>
            </c:extLst>
          </c:dPt>
          <c:dLbls>
            <c:dLbl>
              <c:idx val="0"/>
              <c:layout>
                <c:manualLayout>
                  <c:x val="0.11608194592317862"/>
                  <c:y val="-6.54761904761905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8D-4A33-A462-CDB97CEDD389}"/>
                </c:ext>
              </c:extLst>
            </c:dLbl>
            <c:dLbl>
              <c:idx val="1"/>
              <c:layout>
                <c:manualLayout>
                  <c:x val="-0.11251707206732885"/>
                  <c:y val="0.117724867724867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8D-4A33-A462-CDB97CEDD389}"/>
                </c:ext>
              </c:extLst>
            </c:dLbl>
            <c:dLbl>
              <c:idx val="2"/>
              <c:layout>
                <c:manualLayout>
                  <c:x val="-0.10895219821147914"/>
                  <c:y val="-6.812169312169316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8D-4A33-A462-CDB97CEDD389}"/>
                </c:ext>
              </c:extLst>
            </c:dLbl>
            <c:dLbl>
              <c:idx val="3"/>
              <c:layout>
                <c:manualLayout>
                  <c:x val="-3.6844309765885506E-2"/>
                  <c:y val="-0.1329365079365079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8D-4A33-A462-CDB97CEDD38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'بيانات التلاميذ الكفاءة 1'!$G$4:$J$4</c:f>
              <c:strCache>
                <c:ptCount val="4"/>
                <c:pt idx="0">
                  <c:v>أ</c:v>
                </c:pt>
                <c:pt idx="1">
                  <c:v>ب</c:v>
                </c:pt>
                <c:pt idx="2">
                  <c:v>ج</c:v>
                </c:pt>
                <c:pt idx="3">
                  <c:v>د</c:v>
                </c:pt>
              </c:strCache>
            </c:strRef>
          </c:cat>
          <c:val>
            <c:numRef>
              <c:f>('بيانات التلاميذ الكفاءة 1'!$G$55,'بيانات التلاميذ الكفاءة 1'!$H$56,'بيانات التلاميذ الكفاءة 1'!$I$57,'بيانات التلاميذ الكفاءة 1'!$J$58)</c:f>
              <c:numCache>
                <c:formatCode>General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27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8D-4A33-A462-CDB97CEDD3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'بيانات التلاميذ الكفاءة 2'!$A$55</c:f>
              <c:strCache>
                <c:ptCount val="1"/>
                <c:pt idx="0">
                  <c:v>أ</c:v>
                </c:pt>
              </c:strCache>
            </c:strRef>
          </c:tx>
          <c:spPr>
            <a:solidFill>
              <a:srgbClr val="118134"/>
            </a:solidFill>
          </c:spPr>
          <c:invertIfNegative val="0"/>
          <c:cat>
            <c:numRef>
              <c:f>'بيانات التلاميذ الكفاءة 2'!$L$5:$L$8</c:f>
              <c:numCache>
                <c:formatCode>General</c:formatCode>
                <c:ptCount val="4"/>
              </c:numCache>
            </c:numRef>
          </c:cat>
          <c:val>
            <c:numRef>
              <c:f>'بيانات التلاميذ الكفاءة 2'!$C$55:$E$55</c:f>
              <c:numCache>
                <c:formatCode>General</c:formatCode>
                <c:ptCount val="3"/>
                <c:pt idx="0">
                  <c:v>18</c:v>
                </c:pt>
                <c:pt idx="1">
                  <c:v>20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4-4D6E-9301-4B31E479659E}"/>
            </c:ext>
          </c:extLst>
        </c:ser>
        <c:ser>
          <c:idx val="1"/>
          <c:order val="1"/>
          <c:tx>
            <c:strRef>
              <c:f>'بيانات التلاميذ الكفاءة 2'!$A$56</c:f>
              <c:strCache>
                <c:ptCount val="1"/>
                <c:pt idx="0">
                  <c:v>ب</c:v>
                </c:pt>
              </c:strCache>
            </c:strRef>
          </c:tx>
          <c:spPr>
            <a:solidFill>
              <a:srgbClr val="4DC34D"/>
            </a:solidFill>
          </c:spPr>
          <c:invertIfNegative val="0"/>
          <c:cat>
            <c:numRef>
              <c:f>'بيانات التلاميذ الكفاءة 2'!$L$5:$L$8</c:f>
              <c:numCache>
                <c:formatCode>General</c:formatCode>
                <c:ptCount val="4"/>
              </c:numCache>
            </c:numRef>
          </c:cat>
          <c:val>
            <c:numRef>
              <c:f>'بيانات التلاميذ الكفاءة 2'!$C$56:$E$56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4-4D6E-9301-4B31E479659E}"/>
            </c:ext>
          </c:extLst>
        </c:ser>
        <c:ser>
          <c:idx val="2"/>
          <c:order val="2"/>
          <c:tx>
            <c:strRef>
              <c:f>'بيانات التلاميذ الكفاءة 2'!$A$57</c:f>
              <c:strCache>
                <c:ptCount val="1"/>
                <c:pt idx="0">
                  <c:v>ج</c:v>
                </c:pt>
              </c:strCache>
            </c:strRef>
          </c:tx>
          <c:spPr>
            <a:solidFill>
              <a:srgbClr val="F8B996"/>
            </a:solidFill>
          </c:spPr>
          <c:invertIfNegative val="0"/>
          <c:cat>
            <c:numRef>
              <c:f>'بيانات التلاميذ الكفاءة 2'!$L$5:$L$8</c:f>
              <c:numCache>
                <c:formatCode>General</c:formatCode>
                <c:ptCount val="4"/>
              </c:numCache>
            </c:numRef>
          </c:cat>
          <c:val>
            <c:numRef>
              <c:f>'بيانات التلاميذ الكفاءة 2'!$C$57:$E$57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4-4D6E-9301-4B31E479659E}"/>
            </c:ext>
          </c:extLst>
        </c:ser>
        <c:ser>
          <c:idx val="3"/>
          <c:order val="3"/>
          <c:tx>
            <c:strRef>
              <c:f>'بيانات التلاميذ الكفاءة 2'!$A$58</c:f>
              <c:strCache>
                <c:ptCount val="1"/>
                <c:pt idx="0">
                  <c:v>د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'بيانات التلاميذ الكفاءة 2'!$L$5:$L$8</c:f>
              <c:numCache>
                <c:formatCode>General</c:formatCode>
                <c:ptCount val="4"/>
              </c:numCache>
            </c:numRef>
          </c:cat>
          <c:val>
            <c:numRef>
              <c:f>'بيانات التلاميذ الكفاءة 2'!$C$58:$E$58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D4-4D6E-9301-4B31E4796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514304"/>
        <c:axId val="64545536"/>
        <c:axId val="0"/>
      </c:bar3DChart>
      <c:catAx>
        <c:axId val="6451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DZ" sz="1400"/>
                  <a:t>حسب</a:t>
                </a:r>
                <a:r>
                  <a:rPr lang="ar-DZ" sz="1400" baseline="0"/>
                  <a:t> كل معيار</a:t>
                </a:r>
                <a:endParaRPr lang="fr-FR" sz="1400"/>
              </a:p>
            </c:rich>
          </c:tx>
          <c:layout>
            <c:manualLayout>
              <c:xMode val="edge"/>
              <c:yMode val="edge"/>
              <c:x val="0.42412198475190593"/>
              <c:y val="0.935580526392534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64545536"/>
        <c:crosses val="autoZero"/>
        <c:auto val="1"/>
        <c:lblAlgn val="ctr"/>
        <c:lblOffset val="100"/>
        <c:noMultiLvlLbl val="0"/>
      </c:catAx>
      <c:valAx>
        <c:axId val="6454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5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473562520972152"/>
          <c:y val="0.3732632558861177"/>
          <c:w val="6.1253866909368376E-2"/>
          <c:h val="0.30930271647078628"/>
        </c:manualLayout>
      </c:layout>
      <c:overlay val="0"/>
      <c:txPr>
        <a:bodyPr/>
        <a:lstStyle/>
        <a:p>
          <a:pPr>
            <a:defRPr sz="1100" b="1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 sz="1800" b="0" i="0" baseline="0">
                <a:effectLst/>
              </a:rPr>
              <a:t>تحليل بايانات الكفاءة الختامية </a:t>
            </a:r>
            <a:r>
              <a:rPr lang="fr-FR" sz="1800" b="0" i="0" baseline="0">
                <a:effectLst/>
              </a:rPr>
              <a:t>2</a:t>
            </a:r>
            <a:r>
              <a:rPr lang="ar-DZ" sz="1800" b="0" i="0" baseline="0">
                <a:effectLst/>
              </a:rPr>
              <a:t> بالدائرة النسبية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6939741744763329"/>
          <c:y val="0.23207661542307212"/>
          <c:w val="0.49782078131763985"/>
          <c:h val="0.66474878140232463"/>
        </c:manualLayout>
      </c:layout>
      <c:doughnutChart>
        <c:varyColors val="1"/>
        <c:ser>
          <c:idx val="0"/>
          <c:order val="0"/>
          <c:tx>
            <c:strRef>
              <c:f>'بيانات التلاميذ الكفاءة 2'!$B$55:$B$58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A3-4C14-92AD-65EFAD4E86E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A3-4C14-92AD-65EFAD4E86E0}"/>
              </c:ext>
            </c:extLst>
          </c:dPt>
          <c:dPt>
            <c:idx val="2"/>
            <c:bubble3D val="0"/>
            <c:spPr>
              <a:solidFill>
                <a:srgbClr val="FBD4B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A3-4C14-92AD-65EFAD4E86E0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A3-4C14-92AD-65EFAD4E86E0}"/>
              </c:ext>
            </c:extLst>
          </c:dPt>
          <c:dLbls>
            <c:dLbl>
              <c:idx val="0"/>
              <c:layout>
                <c:manualLayout>
                  <c:x val="0.11608194592317862"/>
                  <c:y val="-6.54761904761905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A3-4C14-92AD-65EFAD4E86E0}"/>
                </c:ext>
              </c:extLst>
            </c:dLbl>
            <c:dLbl>
              <c:idx val="1"/>
              <c:layout>
                <c:manualLayout>
                  <c:x val="-0.11251707206732885"/>
                  <c:y val="0.117724867724867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A3-4C14-92AD-65EFAD4E86E0}"/>
                </c:ext>
              </c:extLst>
            </c:dLbl>
            <c:dLbl>
              <c:idx val="2"/>
              <c:layout>
                <c:manualLayout>
                  <c:x val="-0.10895219821147914"/>
                  <c:y val="-6.812169312169316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A3-4C14-92AD-65EFAD4E86E0}"/>
                </c:ext>
              </c:extLst>
            </c:dLbl>
            <c:dLbl>
              <c:idx val="3"/>
              <c:layout>
                <c:manualLayout>
                  <c:x val="-3.6844309765885506E-2"/>
                  <c:y val="-0.1329365079365079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A3-4C14-92AD-65EFAD4E86E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'بيانات التلاميذ الكفاءة 2'!$F$4:$I$4</c:f>
              <c:strCache>
                <c:ptCount val="4"/>
                <c:pt idx="0">
                  <c:v>أ</c:v>
                </c:pt>
                <c:pt idx="1">
                  <c:v>ب</c:v>
                </c:pt>
                <c:pt idx="2">
                  <c:v>ج</c:v>
                </c:pt>
                <c:pt idx="3">
                  <c:v>د</c:v>
                </c:pt>
              </c:strCache>
            </c:strRef>
          </c:cat>
          <c:val>
            <c:numRef>
              <c:f>('بيانات التلاميذ الكفاءة 2'!$F$55,'بيانات التلاميذ الكفاءة 2'!$G$56,'بيانات التلاميذ الكفاءة 2'!$H$57,'بيانات التلاميذ الكفاءة 2'!$I$58)</c:f>
              <c:numCache>
                <c:formatCode>General</c:formatCode>
                <c:ptCount val="4"/>
                <c:pt idx="0">
                  <c:v>55</c:v>
                </c:pt>
                <c:pt idx="1">
                  <c:v>23</c:v>
                </c:pt>
                <c:pt idx="2">
                  <c:v>22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A3-4C14-92AD-65EFAD4E86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  <cx:data id="1">
      <cx:numDim type="val">
        <cx:f dir="row">_xlchart.v1.5</cx:f>
      </cx:numDim>
    </cx:data>
    <cx:data id="2">
      <cx:numDim type="val">
        <cx:f dir="row">_xlchart.v1.6</cx:f>
      </cx:numDim>
    </cx:data>
    <cx:data id="3">
      <cx:numDim type="val">
        <cx:f dir="row">_xlchart.v1.7</cx:f>
      </cx:numDim>
    </cx:data>
  </cx:chartData>
  <cx:chart>
    <cx:title pos="t" align="ctr" overlay="0"/>
    <cx:plotArea>
      <cx:plotAreaRegion>
        <cx:series layoutId="clusteredColumn" uniqueId="{7BE6D629-0AAE-41C1-A81F-89226D2EFE1F}" formatIdx="0">
          <cx:tx>
            <cx:txData>
              <cx:f>_xlchart.v1.0</cx:f>
              <cx:v>أ</cx:v>
            </cx:txData>
          </cx:tx>
          <cx:dataId val="0"/>
          <cx:layoutPr>
            <cx:binning intervalClosed="r"/>
          </cx:layoutPr>
        </cx:series>
        <cx:series layoutId="clusteredColumn" hidden="1" uniqueId="{EA328EE2-7559-433C-BE7A-AF25E59992BE}" formatIdx="1">
          <cx:tx>
            <cx:txData>
              <cx:f>_xlchart.v1.1</cx:f>
              <cx:v>ب</cx:v>
            </cx:txData>
          </cx:tx>
          <cx:dataId val="1"/>
          <cx:layoutPr>
            <cx:binning intervalClosed="r"/>
          </cx:layoutPr>
        </cx:series>
        <cx:series layoutId="clusteredColumn" hidden="1" uniqueId="{181B8F73-C794-4DD2-8D13-FE69BC4EDBCC}" formatIdx="2">
          <cx:tx>
            <cx:txData>
              <cx:f>_xlchart.v1.2</cx:f>
              <cx:v>ج</cx:v>
            </cx:txData>
          </cx:tx>
          <cx:dataId val="2"/>
          <cx:layoutPr>
            <cx:binning intervalClosed="r"/>
          </cx:layoutPr>
        </cx:series>
        <cx:series layoutId="clusteredColumn" hidden="1" uniqueId="{FC2733D5-FC58-44E5-BC99-9EED42C9C68D}" formatIdx="3">
          <cx:tx>
            <cx:txData>
              <cx:f>_xlchart.v1.3</cx:f>
              <cx:v>د</cx:v>
            </cx:txData>
          </cx:tx>
          <cx:dataId val="3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_xlchart.v1.12</cx:f>
      </cx:numDim>
    </cx:data>
    <cx:data id="1">
      <cx:numDim type="val">
        <cx:f dir="row">_xlchart.v1.13</cx:f>
      </cx:numDim>
    </cx:data>
    <cx:data id="2">
      <cx:numDim type="val">
        <cx:f dir="row">_xlchart.v1.14</cx:f>
      </cx:numDim>
    </cx:data>
    <cx:data id="3">
      <cx:numDim type="val">
        <cx:f dir="row">_xlchart.v1.15</cx:f>
      </cx:numDim>
    </cx:data>
  </cx:chartData>
  <cx:chart>
    <cx:title pos="t" align="ctr" overlay="0"/>
    <cx:plotArea>
      <cx:plotAreaRegion>
        <cx:series layoutId="clusteredColumn" uniqueId="{7BE6D629-0AAE-41C1-A81F-89226D2EFE1F}" formatIdx="0">
          <cx:tx>
            <cx:txData>
              <cx:f>_xlchart.v1.8</cx:f>
              <cx:v>أ</cx:v>
            </cx:txData>
          </cx:tx>
          <cx:dataId val="0"/>
          <cx:layoutPr>
            <cx:binning intervalClosed="r"/>
          </cx:layoutPr>
        </cx:series>
        <cx:series layoutId="clusteredColumn" hidden="1" uniqueId="{EA328EE2-7559-433C-BE7A-AF25E59992BE}" formatIdx="1">
          <cx:tx>
            <cx:txData>
              <cx:f>_xlchart.v1.9</cx:f>
              <cx:v>ب</cx:v>
            </cx:txData>
          </cx:tx>
          <cx:dataId val="1"/>
          <cx:layoutPr>
            <cx:binning intervalClosed="r"/>
          </cx:layoutPr>
        </cx:series>
        <cx:series layoutId="clusteredColumn" hidden="1" uniqueId="{181B8F73-C794-4DD2-8D13-FE69BC4EDBCC}" formatIdx="2">
          <cx:tx>
            <cx:txData>
              <cx:f>_xlchart.v1.10</cx:f>
              <cx:v>ج</cx:v>
            </cx:txData>
          </cx:tx>
          <cx:dataId val="2"/>
          <cx:layoutPr>
            <cx:binning intervalClosed="r"/>
          </cx:layoutPr>
        </cx:series>
        <cx:series layoutId="clusteredColumn" hidden="1" uniqueId="{FC2733D5-FC58-44E5-BC99-9EED42C9C68D}" formatIdx="3">
          <cx:tx>
            <cx:txData>
              <cx:f>_xlchart.v1.11</cx:f>
              <cx:v>د</cx:v>
            </cx:txData>
          </cx:tx>
          <cx:dataId val="3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247650</xdr:colOff>
      <xdr:row>33</xdr:row>
      <xdr:rowOff>0</xdr:rowOff>
    </xdr:from>
    <xdr:to>
      <xdr:col>25</xdr:col>
      <xdr:colOff>552450</xdr:colOff>
      <xdr:row>58</xdr:row>
      <xdr:rowOff>9525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247650</xdr:colOff>
      <xdr:row>11</xdr:row>
      <xdr:rowOff>76201</xdr:rowOff>
    </xdr:from>
    <xdr:to>
      <xdr:col>25</xdr:col>
      <xdr:colOff>561975</xdr:colOff>
      <xdr:row>31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0BAF7F2-B926-466C-83FF-72DF42EDB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333381</xdr:colOff>
      <xdr:row>33</xdr:row>
      <xdr:rowOff>23812</xdr:rowOff>
    </xdr:from>
    <xdr:to>
      <xdr:col>10</xdr:col>
      <xdr:colOff>333381</xdr:colOff>
      <xdr:row>54</xdr:row>
      <xdr:rowOff>252412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159537B2-04F7-4ACF-A752-851E4FE15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0514069" y="6186487"/>
              <a:ext cx="0" cy="382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33</xdr:row>
      <xdr:rowOff>0</xdr:rowOff>
    </xdr:from>
    <xdr:to>
      <xdr:col>22</xdr:col>
      <xdr:colOff>19050</xdr:colOff>
      <xdr:row>58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396711-AEAE-4A9D-8699-4A921DFEF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47624</xdr:colOff>
      <xdr:row>11</xdr:row>
      <xdr:rowOff>76201</xdr:rowOff>
    </xdr:from>
    <xdr:to>
      <xdr:col>22</xdr:col>
      <xdr:colOff>28574</xdr:colOff>
      <xdr:row>31</xdr:row>
      <xdr:rowOff>66675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946EC0-360E-4F44-B8A6-41FA8B638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333381</xdr:colOff>
      <xdr:row>33</xdr:row>
      <xdr:rowOff>23812</xdr:rowOff>
    </xdr:from>
    <xdr:to>
      <xdr:col>7</xdr:col>
      <xdr:colOff>333381</xdr:colOff>
      <xdr:row>54</xdr:row>
      <xdr:rowOff>252412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959EDC0E-9A97-4A63-B18E-7949D8B34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3171544" y="6186487"/>
              <a:ext cx="0" cy="382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33</xdr:row>
      <xdr:rowOff>0</xdr:rowOff>
    </xdr:from>
    <xdr:to>
      <xdr:col>20</xdr:col>
      <xdr:colOff>600075</xdr:colOff>
      <xdr:row>58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5DEF6B-1638-4694-9AED-F5FCEF338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19049</xdr:colOff>
      <xdr:row>11</xdr:row>
      <xdr:rowOff>76201</xdr:rowOff>
    </xdr:from>
    <xdr:to>
      <xdr:col>20</xdr:col>
      <xdr:colOff>609599</xdr:colOff>
      <xdr:row>31</xdr:row>
      <xdr:rowOff>66675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C60E2C3-AE39-49E7-8022-3FCDD5072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333381</xdr:colOff>
      <xdr:row>33</xdr:row>
      <xdr:rowOff>23812</xdr:rowOff>
    </xdr:from>
    <xdr:to>
      <xdr:col>6</xdr:col>
      <xdr:colOff>333381</xdr:colOff>
      <xdr:row>54</xdr:row>
      <xdr:rowOff>252412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3A6BD063-AE7C-41BE-BBB8-CE430C3FB4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3781144" y="6186487"/>
              <a:ext cx="0" cy="382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104279</xdr:colOff>
      <xdr:row>2</xdr:row>
      <xdr:rowOff>38100</xdr:rowOff>
    </xdr:from>
    <xdr:to>
      <xdr:col>14</xdr:col>
      <xdr:colOff>609600</xdr:colOff>
      <xdr:row>26</xdr:row>
      <xdr:rowOff>153109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9E89E89-47FC-4781-87BB-6ABD85B16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3330400" y="419100"/>
          <a:ext cx="3553321" cy="50775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OHAMED\Desktop\---C-E-M---\&#1576;&#1585;&#1575;&#1605;&#1580;%20&#1605;&#1582;&#1578;&#1604;&#1601;&#1577;\PAY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k"/>
      <sheetName val="pGS"/>
      <sheetName val="BD"/>
      <sheetName val="FPS"/>
      <sheetName val="FPS(2)"/>
      <sheetName val="accueil"/>
      <sheetName val="Mek_Acc"/>
    </sheetNames>
    <sheetDataSet>
      <sheetData sheetId="0" refreshError="1"/>
      <sheetData sheetId="1"/>
      <sheetData sheetId="2">
        <row r="17">
          <cell r="F17" t="str">
            <v>أعزب</v>
          </cell>
        </row>
        <row r="18">
          <cell r="F18" t="str">
            <v>متزوج</v>
          </cell>
        </row>
        <row r="19">
          <cell r="F19" t="str">
            <v>أرمل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31_med@liv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showGridLines="0" rightToLeft="1" tabSelected="1" topLeftCell="A3" workbookViewId="0">
      <pane xSplit="2" ySplit="2" topLeftCell="C23" activePane="bottomRight" state="frozen"/>
      <selection activeCell="A3" sqref="A3"/>
      <selection pane="topRight" activeCell="C3" sqref="C3"/>
      <selection pane="bottomLeft" activeCell="A5" sqref="A5"/>
      <selection pane="bottomRight" activeCell="Q32" sqref="Q32"/>
    </sheetView>
  </sheetViews>
  <sheetFormatPr baseColWidth="10" defaultColWidth="9.140625" defaultRowHeight="18" customHeight="1" x14ac:dyDescent="0.25"/>
  <cols>
    <col min="1" max="1" width="20.7109375" style="5" customWidth="1"/>
    <col min="2" max="2" width="1.5703125" style="7" hidden="1" customWidth="1"/>
    <col min="3" max="13" width="5.7109375" style="5" customWidth="1"/>
    <col min="14" max="15" width="8.7109375" style="7" customWidth="1"/>
    <col min="16" max="16" width="9.140625" style="8"/>
    <col min="17" max="16384" width="9.140625" style="5"/>
  </cols>
  <sheetData>
    <row r="1" spans="1:20" ht="25.5" customHeight="1" x14ac:dyDescent="0.25">
      <c r="B1" s="108" t="s">
        <v>14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20" ht="24.75" customHeight="1" x14ac:dyDescent="0.25">
      <c r="B2" s="108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1:20" s="2" customFormat="1" ht="21.95" customHeight="1" x14ac:dyDescent="0.15">
      <c r="A3" s="38"/>
      <c r="B3" s="38"/>
      <c r="C3" s="107" t="s">
        <v>4</v>
      </c>
      <c r="D3" s="107"/>
      <c r="E3" s="107"/>
      <c r="F3" s="107"/>
      <c r="G3" s="107" t="s">
        <v>5</v>
      </c>
      <c r="H3" s="107"/>
      <c r="I3" s="107"/>
      <c r="J3" s="107" t="s">
        <v>12</v>
      </c>
      <c r="K3" s="107"/>
      <c r="L3" s="107"/>
      <c r="M3" s="107"/>
      <c r="N3" s="107" t="s">
        <v>10</v>
      </c>
      <c r="O3" s="107"/>
    </row>
    <row r="4" spans="1:20" s="2" customFormat="1" ht="21.95" customHeight="1" x14ac:dyDescent="0.15">
      <c r="A4" s="42" t="s">
        <v>11</v>
      </c>
      <c r="B4" s="39"/>
      <c r="C4" s="23" t="s">
        <v>6</v>
      </c>
      <c r="D4" s="24" t="s">
        <v>7</v>
      </c>
      <c r="E4" s="24" t="s">
        <v>8</v>
      </c>
      <c r="F4" s="25" t="s">
        <v>9</v>
      </c>
      <c r="G4" s="26" t="s">
        <v>6</v>
      </c>
      <c r="H4" s="27" t="s">
        <v>7</v>
      </c>
      <c r="I4" s="28" t="s">
        <v>8</v>
      </c>
      <c r="J4" s="29" t="s">
        <v>0</v>
      </c>
      <c r="K4" s="29" t="s">
        <v>1</v>
      </c>
      <c r="L4" s="29" t="s">
        <v>2</v>
      </c>
      <c r="M4" s="29" t="s">
        <v>3</v>
      </c>
      <c r="N4" s="21" t="s">
        <v>35</v>
      </c>
      <c r="O4" s="13" t="s">
        <v>36</v>
      </c>
      <c r="P4" s="1"/>
      <c r="Q4" s="20"/>
    </row>
    <row r="5" spans="1:20" s="2" customFormat="1" ht="14.1" customHeight="1" x14ac:dyDescent="0.3">
      <c r="A5" s="99" t="s">
        <v>53</v>
      </c>
      <c r="B5" s="40"/>
      <c r="C5" s="100" t="s">
        <v>3</v>
      </c>
      <c r="D5" s="100" t="s">
        <v>2</v>
      </c>
      <c r="E5" s="100" t="s">
        <v>2</v>
      </c>
      <c r="F5" s="100" t="s">
        <v>3</v>
      </c>
      <c r="G5" s="100" t="s">
        <v>3</v>
      </c>
      <c r="H5" s="100" t="s">
        <v>3</v>
      </c>
      <c r="I5" s="101" t="s">
        <v>3</v>
      </c>
      <c r="J5" s="83">
        <f>COUNTIF(C5:I5,"أ")</f>
        <v>0</v>
      </c>
      <c r="K5" s="85">
        <f>COUNTIF(C5:I5,"ب")</f>
        <v>0</v>
      </c>
      <c r="L5" s="89">
        <f t="shared" ref="L5:L54" si="0">COUNTIF(C5:I5,"ج")</f>
        <v>2</v>
      </c>
      <c r="M5" s="96">
        <f>COUNTIF(C5:I5,"د")</f>
        <v>5</v>
      </c>
      <c r="N5" s="22" t="str">
        <f>IF(COUNTIF(C5:F5,"ج")+COUNTIF(C5:F5,"د")&gt;=1,"X"," ")</f>
        <v>X</v>
      </c>
      <c r="O5" s="22" t="str">
        <f>IF(COUNTIF(G5:I5,"ج")+COUNTIF(G5:I5,"د")&gt;=1,"X"," ")</f>
        <v>X</v>
      </c>
      <c r="P5" s="1"/>
      <c r="Q5" s="3" t="s">
        <v>6</v>
      </c>
      <c r="R5" s="9" t="s">
        <v>15</v>
      </c>
      <c r="S5" s="9"/>
      <c r="T5" s="9"/>
    </row>
    <row r="6" spans="1:20" s="2" customFormat="1" ht="14.1" customHeight="1" x14ac:dyDescent="0.3">
      <c r="A6" s="99" t="s">
        <v>54</v>
      </c>
      <c r="B6" s="40"/>
      <c r="C6" s="100" t="s">
        <v>1</v>
      </c>
      <c r="D6" s="100" t="s">
        <v>2</v>
      </c>
      <c r="E6" s="100" t="s">
        <v>2</v>
      </c>
      <c r="F6" s="100" t="s">
        <v>2</v>
      </c>
      <c r="G6" s="100" t="s">
        <v>1</v>
      </c>
      <c r="H6" s="100" t="s">
        <v>1</v>
      </c>
      <c r="I6" s="101" t="s">
        <v>1</v>
      </c>
      <c r="J6" s="83">
        <f t="shared" ref="J6:J54" si="1">COUNTIF(C6:I6,"أ")</f>
        <v>0</v>
      </c>
      <c r="K6" s="85">
        <f t="shared" ref="K6:K54" si="2">COUNTIF(C6:I6,"ب")</f>
        <v>4</v>
      </c>
      <c r="L6" s="89">
        <f t="shared" si="0"/>
        <v>3</v>
      </c>
      <c r="M6" s="96">
        <f t="shared" ref="M6:M54" si="3">COUNTIF(C6:I6,"د")</f>
        <v>0</v>
      </c>
      <c r="N6" s="22" t="str">
        <f>IF(COUNTIF(C6:F6,"ج")+COUNTIF(C6:F6,"د")&gt;=1,"X"," ")</f>
        <v>X</v>
      </c>
      <c r="O6" s="22" t="str">
        <f t="shared" ref="O6:O54" si="4">IF(COUNTIF(G6:I6,"ج")+COUNTIF(G6:I6,"د")&gt;=1,"X"," ")</f>
        <v/>
      </c>
      <c r="P6" s="1"/>
      <c r="Q6" s="3" t="s">
        <v>7</v>
      </c>
      <c r="R6" s="9" t="s">
        <v>16</v>
      </c>
      <c r="S6" s="9"/>
      <c r="T6" s="9"/>
    </row>
    <row r="7" spans="1:20" s="2" customFormat="1" ht="14.1" customHeight="1" x14ac:dyDescent="0.3">
      <c r="A7" s="99" t="s">
        <v>55</v>
      </c>
      <c r="B7" s="40"/>
      <c r="C7" s="100" t="s">
        <v>0</v>
      </c>
      <c r="D7" s="100" t="s">
        <v>0</v>
      </c>
      <c r="E7" s="100" t="s">
        <v>0</v>
      </c>
      <c r="F7" s="100" t="s">
        <v>0</v>
      </c>
      <c r="G7" s="100" t="s">
        <v>0</v>
      </c>
      <c r="H7" s="100" t="s">
        <v>0</v>
      </c>
      <c r="I7" s="101" t="s">
        <v>1</v>
      </c>
      <c r="J7" s="83">
        <f t="shared" si="1"/>
        <v>6</v>
      </c>
      <c r="K7" s="85">
        <f t="shared" si="2"/>
        <v>1</v>
      </c>
      <c r="L7" s="89">
        <f t="shared" si="0"/>
        <v>0</v>
      </c>
      <c r="M7" s="96">
        <f t="shared" si="3"/>
        <v>0</v>
      </c>
      <c r="N7" s="22" t="str">
        <f t="shared" ref="N7:N54" si="5">IF(COUNTIF(C7:F7,"ج")+COUNTIF(C7:F7,"د")&gt;=1,"X"," ")</f>
        <v/>
      </c>
      <c r="O7" s="22" t="str">
        <f t="shared" si="4"/>
        <v/>
      </c>
      <c r="P7" s="1"/>
      <c r="Q7" s="3" t="s">
        <v>8</v>
      </c>
      <c r="R7" s="9" t="s">
        <v>17</v>
      </c>
      <c r="S7" s="9"/>
      <c r="T7" s="9"/>
    </row>
    <row r="8" spans="1:20" s="2" customFormat="1" ht="14.1" customHeight="1" x14ac:dyDescent="0.3">
      <c r="A8" s="99" t="s">
        <v>56</v>
      </c>
      <c r="B8" s="40"/>
      <c r="C8" s="100" t="s">
        <v>1</v>
      </c>
      <c r="D8" s="100" t="s">
        <v>0</v>
      </c>
      <c r="E8" s="100" t="s">
        <v>1</v>
      </c>
      <c r="F8" s="100" t="s">
        <v>0</v>
      </c>
      <c r="G8" s="100" t="s">
        <v>1</v>
      </c>
      <c r="H8" s="100" t="s">
        <v>1</v>
      </c>
      <c r="I8" s="101" t="s">
        <v>2</v>
      </c>
      <c r="J8" s="83">
        <f t="shared" si="1"/>
        <v>2</v>
      </c>
      <c r="K8" s="85">
        <f t="shared" si="2"/>
        <v>4</v>
      </c>
      <c r="L8" s="89">
        <f t="shared" si="0"/>
        <v>1</v>
      </c>
      <c r="M8" s="96">
        <f t="shared" si="3"/>
        <v>0</v>
      </c>
      <c r="N8" s="22" t="str">
        <f t="shared" si="5"/>
        <v/>
      </c>
      <c r="O8" s="22" t="str">
        <f t="shared" si="4"/>
        <v>X</v>
      </c>
      <c r="P8" s="1"/>
      <c r="Q8" s="3" t="s">
        <v>9</v>
      </c>
      <c r="R8" s="9" t="s">
        <v>18</v>
      </c>
      <c r="S8" s="9"/>
      <c r="T8" s="9"/>
    </row>
    <row r="9" spans="1:20" s="2" customFormat="1" ht="14.1" customHeight="1" x14ac:dyDescent="0.3">
      <c r="A9" s="99" t="s">
        <v>57</v>
      </c>
      <c r="B9" s="40"/>
      <c r="C9" s="100" t="s">
        <v>1</v>
      </c>
      <c r="D9" s="100" t="s">
        <v>1</v>
      </c>
      <c r="E9" s="100" t="s">
        <v>1</v>
      </c>
      <c r="F9" s="100" t="s">
        <v>1</v>
      </c>
      <c r="G9" s="100" t="s">
        <v>0</v>
      </c>
      <c r="H9" s="100" t="s">
        <v>0</v>
      </c>
      <c r="I9" s="101" t="s">
        <v>0</v>
      </c>
      <c r="J9" s="83">
        <f t="shared" si="1"/>
        <v>3</v>
      </c>
      <c r="K9" s="85">
        <f t="shared" si="2"/>
        <v>4</v>
      </c>
      <c r="L9" s="89">
        <f t="shared" si="0"/>
        <v>0</v>
      </c>
      <c r="M9" s="96">
        <f t="shared" si="3"/>
        <v>0</v>
      </c>
      <c r="N9" s="22" t="str">
        <f t="shared" si="5"/>
        <v/>
      </c>
      <c r="O9" s="22" t="str">
        <f t="shared" si="4"/>
        <v/>
      </c>
      <c r="P9" s="1"/>
      <c r="Q9" s="4" t="s">
        <v>6</v>
      </c>
      <c r="R9" s="9" t="s">
        <v>19</v>
      </c>
      <c r="S9" s="9"/>
      <c r="T9" s="9"/>
    </row>
    <row r="10" spans="1:20" s="2" customFormat="1" ht="14.1" customHeight="1" x14ac:dyDescent="0.3">
      <c r="A10" s="99" t="s">
        <v>58</v>
      </c>
      <c r="B10" s="40"/>
      <c r="C10" s="100" t="s">
        <v>0</v>
      </c>
      <c r="D10" s="100" t="s">
        <v>0</v>
      </c>
      <c r="E10" s="100" t="s">
        <v>0</v>
      </c>
      <c r="F10" s="100" t="s">
        <v>0</v>
      </c>
      <c r="G10" s="100" t="s">
        <v>0</v>
      </c>
      <c r="H10" s="100" t="s">
        <v>0</v>
      </c>
      <c r="I10" s="101" t="s">
        <v>0</v>
      </c>
      <c r="J10" s="83">
        <f t="shared" si="1"/>
        <v>7</v>
      </c>
      <c r="K10" s="85">
        <f t="shared" si="2"/>
        <v>0</v>
      </c>
      <c r="L10" s="89">
        <f t="shared" si="0"/>
        <v>0</v>
      </c>
      <c r="M10" s="96">
        <f t="shared" si="3"/>
        <v>0</v>
      </c>
      <c r="N10" s="22" t="str">
        <f t="shared" si="5"/>
        <v/>
      </c>
      <c r="O10" s="22" t="str">
        <f t="shared" si="4"/>
        <v/>
      </c>
      <c r="P10" s="1"/>
      <c r="Q10" s="4" t="s">
        <v>7</v>
      </c>
      <c r="R10" s="9" t="s">
        <v>20</v>
      </c>
      <c r="S10" s="9"/>
      <c r="T10" s="9"/>
    </row>
    <row r="11" spans="1:20" s="2" customFormat="1" ht="14.1" customHeight="1" x14ac:dyDescent="0.3">
      <c r="A11" s="99" t="s">
        <v>59</v>
      </c>
      <c r="B11" s="40"/>
      <c r="C11" s="100" t="s">
        <v>2</v>
      </c>
      <c r="D11" s="100" t="s">
        <v>2</v>
      </c>
      <c r="E11" s="100" t="s">
        <v>2</v>
      </c>
      <c r="F11" s="100" t="s">
        <v>2</v>
      </c>
      <c r="G11" s="100" t="s">
        <v>2</v>
      </c>
      <c r="H11" s="100" t="s">
        <v>3</v>
      </c>
      <c r="I11" s="101" t="s">
        <v>3</v>
      </c>
      <c r="J11" s="83">
        <f t="shared" si="1"/>
        <v>0</v>
      </c>
      <c r="K11" s="85">
        <f t="shared" si="2"/>
        <v>0</v>
      </c>
      <c r="L11" s="89">
        <f t="shared" si="0"/>
        <v>5</v>
      </c>
      <c r="M11" s="96">
        <f t="shared" si="3"/>
        <v>2</v>
      </c>
      <c r="N11" s="22" t="str">
        <f t="shared" si="5"/>
        <v>X</v>
      </c>
      <c r="O11" s="22" t="str">
        <f t="shared" si="4"/>
        <v>X</v>
      </c>
      <c r="P11" s="1"/>
      <c r="Q11" s="4" t="s">
        <v>8</v>
      </c>
      <c r="R11" s="9" t="s">
        <v>21</v>
      </c>
      <c r="S11" s="9"/>
      <c r="T11" s="9"/>
    </row>
    <row r="12" spans="1:20" s="2" customFormat="1" ht="14.1" customHeight="1" x14ac:dyDescent="0.3">
      <c r="A12" s="99" t="s">
        <v>60</v>
      </c>
      <c r="B12" s="40"/>
      <c r="C12" s="100" t="s">
        <v>2</v>
      </c>
      <c r="D12" s="100" t="s">
        <v>2</v>
      </c>
      <c r="E12" s="100" t="s">
        <v>1</v>
      </c>
      <c r="F12" s="100" t="s">
        <v>1</v>
      </c>
      <c r="G12" s="100" t="s">
        <v>3</v>
      </c>
      <c r="H12" s="100" t="s">
        <v>0</v>
      </c>
      <c r="I12" s="101" t="s">
        <v>1</v>
      </c>
      <c r="J12" s="83">
        <f t="shared" si="1"/>
        <v>1</v>
      </c>
      <c r="K12" s="85">
        <f t="shared" si="2"/>
        <v>3</v>
      </c>
      <c r="L12" s="89">
        <f t="shared" si="0"/>
        <v>2</v>
      </c>
      <c r="M12" s="96">
        <f t="shared" si="3"/>
        <v>1</v>
      </c>
      <c r="N12" s="22" t="str">
        <f t="shared" si="5"/>
        <v>X</v>
      </c>
      <c r="O12" s="22" t="str">
        <f t="shared" si="4"/>
        <v>X</v>
      </c>
      <c r="P12" s="1"/>
    </row>
    <row r="13" spans="1:20" s="2" customFormat="1" ht="14.1" customHeight="1" x14ac:dyDescent="0.3">
      <c r="A13" s="99" t="s">
        <v>61</v>
      </c>
      <c r="B13" s="40"/>
      <c r="C13" s="100" t="s">
        <v>2</v>
      </c>
      <c r="D13" s="100" t="s">
        <v>2</v>
      </c>
      <c r="E13" s="100" t="s">
        <v>2</v>
      </c>
      <c r="F13" s="100" t="s">
        <v>2</v>
      </c>
      <c r="G13" s="100" t="s">
        <v>1</v>
      </c>
      <c r="H13" s="100" t="s">
        <v>2</v>
      </c>
      <c r="I13" s="101" t="s">
        <v>2</v>
      </c>
      <c r="J13" s="83">
        <f t="shared" si="1"/>
        <v>0</v>
      </c>
      <c r="K13" s="85">
        <f t="shared" si="2"/>
        <v>1</v>
      </c>
      <c r="L13" s="89">
        <f t="shared" si="0"/>
        <v>6</v>
      </c>
      <c r="M13" s="96">
        <f t="shared" si="3"/>
        <v>0</v>
      </c>
      <c r="N13" s="22" t="str">
        <f t="shared" si="5"/>
        <v>X</v>
      </c>
      <c r="O13" s="22" t="str">
        <f t="shared" si="4"/>
        <v>X</v>
      </c>
      <c r="P13" s="1"/>
    </row>
    <row r="14" spans="1:20" s="2" customFormat="1" ht="14.1" customHeight="1" x14ac:dyDescent="0.3">
      <c r="A14" s="99" t="s">
        <v>62</v>
      </c>
      <c r="B14" s="40"/>
      <c r="C14" s="100" t="s">
        <v>3</v>
      </c>
      <c r="D14" s="100" t="s">
        <v>2</v>
      </c>
      <c r="E14" s="100" t="s">
        <v>2</v>
      </c>
      <c r="F14" s="100" t="s">
        <v>3</v>
      </c>
      <c r="G14" s="100" t="s">
        <v>2</v>
      </c>
      <c r="H14" s="100" t="s">
        <v>3</v>
      </c>
      <c r="I14" s="101" t="s">
        <v>2</v>
      </c>
      <c r="J14" s="83">
        <f t="shared" si="1"/>
        <v>0</v>
      </c>
      <c r="K14" s="85">
        <f t="shared" si="2"/>
        <v>0</v>
      </c>
      <c r="L14" s="89">
        <f t="shared" si="0"/>
        <v>4</v>
      </c>
      <c r="M14" s="96">
        <f t="shared" si="3"/>
        <v>3</v>
      </c>
      <c r="N14" s="22" t="str">
        <f t="shared" si="5"/>
        <v>X</v>
      </c>
      <c r="O14" s="22" t="str">
        <f t="shared" si="4"/>
        <v>X</v>
      </c>
      <c r="P14" s="1"/>
    </row>
    <row r="15" spans="1:20" s="2" customFormat="1" ht="14.1" customHeight="1" x14ac:dyDescent="0.3">
      <c r="A15" s="99" t="s">
        <v>63</v>
      </c>
      <c r="B15" s="40"/>
      <c r="C15" s="100" t="s">
        <v>2</v>
      </c>
      <c r="D15" s="100" t="s">
        <v>1</v>
      </c>
      <c r="E15" s="100" t="s">
        <v>1</v>
      </c>
      <c r="F15" s="100" t="s">
        <v>2</v>
      </c>
      <c r="G15" s="100" t="s">
        <v>2</v>
      </c>
      <c r="H15" s="100" t="s">
        <v>2</v>
      </c>
      <c r="I15" s="101" t="s">
        <v>2</v>
      </c>
      <c r="J15" s="83">
        <f t="shared" si="1"/>
        <v>0</v>
      </c>
      <c r="K15" s="85">
        <f t="shared" si="2"/>
        <v>2</v>
      </c>
      <c r="L15" s="89">
        <f t="shared" si="0"/>
        <v>5</v>
      </c>
      <c r="M15" s="96">
        <f t="shared" si="3"/>
        <v>0</v>
      </c>
      <c r="N15" s="22" t="str">
        <f t="shared" si="5"/>
        <v>X</v>
      </c>
      <c r="O15" s="22" t="str">
        <f t="shared" si="4"/>
        <v>X</v>
      </c>
      <c r="P15" s="1"/>
    </row>
    <row r="16" spans="1:20" s="2" customFormat="1" ht="14.1" customHeight="1" x14ac:dyDescent="0.3">
      <c r="A16" s="99" t="s">
        <v>64</v>
      </c>
      <c r="B16" s="40"/>
      <c r="C16" s="100" t="s">
        <v>0</v>
      </c>
      <c r="D16" s="100" t="s">
        <v>0</v>
      </c>
      <c r="E16" s="100" t="s">
        <v>0</v>
      </c>
      <c r="F16" s="100" t="s">
        <v>0</v>
      </c>
      <c r="G16" s="100" t="s">
        <v>1</v>
      </c>
      <c r="H16" s="100" t="s">
        <v>1</v>
      </c>
      <c r="I16" s="101" t="s">
        <v>1</v>
      </c>
      <c r="J16" s="83">
        <f t="shared" si="1"/>
        <v>4</v>
      </c>
      <c r="K16" s="85">
        <f t="shared" si="2"/>
        <v>3</v>
      </c>
      <c r="L16" s="89">
        <f t="shared" si="0"/>
        <v>0</v>
      </c>
      <c r="M16" s="96">
        <f t="shared" si="3"/>
        <v>0</v>
      </c>
      <c r="N16" s="22" t="str">
        <f t="shared" si="5"/>
        <v/>
      </c>
      <c r="O16" s="22" t="str">
        <f t="shared" si="4"/>
        <v/>
      </c>
      <c r="P16" s="1"/>
    </row>
    <row r="17" spans="1:16" s="2" customFormat="1" ht="14.1" customHeight="1" x14ac:dyDescent="0.3">
      <c r="A17" s="99" t="s">
        <v>65</v>
      </c>
      <c r="B17" s="40"/>
      <c r="C17" s="100" t="s">
        <v>2</v>
      </c>
      <c r="D17" s="100" t="s">
        <v>2</v>
      </c>
      <c r="E17" s="100" t="s">
        <v>2</v>
      </c>
      <c r="F17" s="100" t="s">
        <v>2</v>
      </c>
      <c r="G17" s="100" t="s">
        <v>2</v>
      </c>
      <c r="H17" s="100" t="s">
        <v>3</v>
      </c>
      <c r="I17" s="101" t="s">
        <v>2</v>
      </c>
      <c r="J17" s="83">
        <f t="shared" si="1"/>
        <v>0</v>
      </c>
      <c r="K17" s="85">
        <f t="shared" si="2"/>
        <v>0</v>
      </c>
      <c r="L17" s="89">
        <f t="shared" si="0"/>
        <v>6</v>
      </c>
      <c r="M17" s="96">
        <f t="shared" si="3"/>
        <v>1</v>
      </c>
      <c r="N17" s="22" t="str">
        <f t="shared" si="5"/>
        <v>X</v>
      </c>
      <c r="O17" s="22" t="str">
        <f t="shared" si="4"/>
        <v>X</v>
      </c>
      <c r="P17" s="1"/>
    </row>
    <row r="18" spans="1:16" s="2" customFormat="1" ht="14.1" customHeight="1" x14ac:dyDescent="0.3">
      <c r="A18" s="99" t="s">
        <v>66</v>
      </c>
      <c r="B18" s="40"/>
      <c r="C18" s="100" t="s">
        <v>0</v>
      </c>
      <c r="D18" s="100" t="s">
        <v>0</v>
      </c>
      <c r="E18" s="100" t="s">
        <v>0</v>
      </c>
      <c r="F18" s="100" t="s">
        <v>0</v>
      </c>
      <c r="G18" s="100" t="s">
        <v>0</v>
      </c>
      <c r="H18" s="100" t="s">
        <v>3</v>
      </c>
      <c r="I18" s="101" t="s">
        <v>3</v>
      </c>
      <c r="J18" s="83">
        <f t="shared" si="1"/>
        <v>5</v>
      </c>
      <c r="K18" s="85">
        <f t="shared" si="2"/>
        <v>0</v>
      </c>
      <c r="L18" s="89">
        <f t="shared" si="0"/>
        <v>0</v>
      </c>
      <c r="M18" s="96">
        <f t="shared" si="3"/>
        <v>2</v>
      </c>
      <c r="N18" s="22" t="str">
        <f t="shared" si="5"/>
        <v/>
      </c>
      <c r="O18" s="22" t="str">
        <f t="shared" si="4"/>
        <v>X</v>
      </c>
      <c r="P18" s="1"/>
    </row>
    <row r="19" spans="1:16" s="2" customFormat="1" ht="14.1" customHeight="1" x14ac:dyDescent="0.3">
      <c r="A19" s="99" t="s">
        <v>67</v>
      </c>
      <c r="B19" s="40"/>
      <c r="C19" s="100" t="s">
        <v>43</v>
      </c>
      <c r="D19" s="100" t="s">
        <v>43</v>
      </c>
      <c r="E19" s="100" t="s">
        <v>43</v>
      </c>
      <c r="F19" s="100" t="s">
        <v>43</v>
      </c>
      <c r="G19" s="100" t="s">
        <v>43</v>
      </c>
      <c r="H19" s="100" t="s">
        <v>43</v>
      </c>
      <c r="I19" s="101" t="s">
        <v>43</v>
      </c>
      <c r="J19" s="83">
        <f t="shared" si="1"/>
        <v>0</v>
      </c>
      <c r="K19" s="85">
        <f t="shared" si="2"/>
        <v>0</v>
      </c>
      <c r="L19" s="89">
        <f t="shared" si="0"/>
        <v>0</v>
      </c>
      <c r="M19" s="96">
        <f t="shared" si="3"/>
        <v>0</v>
      </c>
      <c r="N19" s="22" t="str">
        <f t="shared" si="5"/>
        <v/>
      </c>
      <c r="O19" s="22" t="str">
        <f t="shared" si="4"/>
        <v/>
      </c>
      <c r="P19" s="1"/>
    </row>
    <row r="20" spans="1:16" s="2" customFormat="1" ht="14.1" customHeight="1" x14ac:dyDescent="0.3">
      <c r="A20" s="99" t="s">
        <v>68</v>
      </c>
      <c r="B20" s="40"/>
      <c r="C20" s="100" t="s">
        <v>0</v>
      </c>
      <c r="D20" s="100" t="s">
        <v>0</v>
      </c>
      <c r="E20" s="100" t="s">
        <v>0</v>
      </c>
      <c r="F20" s="100" t="s">
        <v>0</v>
      </c>
      <c r="G20" s="100" t="s">
        <v>0</v>
      </c>
      <c r="H20" s="100" t="s">
        <v>0</v>
      </c>
      <c r="I20" s="101" t="s">
        <v>0</v>
      </c>
      <c r="J20" s="83">
        <f t="shared" si="1"/>
        <v>7</v>
      </c>
      <c r="K20" s="85">
        <f t="shared" si="2"/>
        <v>0</v>
      </c>
      <c r="L20" s="89">
        <f t="shared" si="0"/>
        <v>0</v>
      </c>
      <c r="M20" s="96">
        <f t="shared" si="3"/>
        <v>0</v>
      </c>
      <c r="N20" s="22" t="str">
        <f t="shared" si="5"/>
        <v/>
      </c>
      <c r="O20" s="22" t="str">
        <f t="shared" si="4"/>
        <v/>
      </c>
      <c r="P20" s="1"/>
    </row>
    <row r="21" spans="1:16" s="2" customFormat="1" ht="14.1" customHeight="1" x14ac:dyDescent="0.3">
      <c r="A21" s="99" t="s">
        <v>69</v>
      </c>
      <c r="B21" s="40"/>
      <c r="C21" s="100" t="s">
        <v>0</v>
      </c>
      <c r="D21" s="100" t="s">
        <v>1</v>
      </c>
      <c r="E21" s="100" t="s">
        <v>0</v>
      </c>
      <c r="F21" s="100" t="s">
        <v>0</v>
      </c>
      <c r="G21" s="100" t="s">
        <v>1</v>
      </c>
      <c r="H21" s="100" t="s">
        <v>0</v>
      </c>
      <c r="I21" s="101" t="s">
        <v>3</v>
      </c>
      <c r="J21" s="83">
        <f t="shared" si="1"/>
        <v>4</v>
      </c>
      <c r="K21" s="85">
        <f t="shared" si="2"/>
        <v>2</v>
      </c>
      <c r="L21" s="89">
        <f t="shared" si="0"/>
        <v>0</v>
      </c>
      <c r="M21" s="96">
        <f t="shared" si="3"/>
        <v>1</v>
      </c>
      <c r="N21" s="22" t="str">
        <f t="shared" si="5"/>
        <v/>
      </c>
      <c r="O21" s="22" t="str">
        <f t="shared" si="4"/>
        <v>X</v>
      </c>
      <c r="P21" s="1"/>
    </row>
    <row r="22" spans="1:16" s="2" customFormat="1" ht="14.1" customHeight="1" x14ac:dyDescent="0.3">
      <c r="A22" s="99" t="s">
        <v>70</v>
      </c>
      <c r="B22" s="40"/>
      <c r="C22" s="100" t="s">
        <v>1</v>
      </c>
      <c r="D22" s="100" t="s">
        <v>1</v>
      </c>
      <c r="E22" s="100" t="s">
        <v>1</v>
      </c>
      <c r="F22" s="100" t="s">
        <v>1</v>
      </c>
      <c r="G22" s="100" t="s">
        <v>2</v>
      </c>
      <c r="H22" s="100" t="s">
        <v>2</v>
      </c>
      <c r="I22" s="101" t="s">
        <v>2</v>
      </c>
      <c r="J22" s="83">
        <f t="shared" si="1"/>
        <v>0</v>
      </c>
      <c r="K22" s="85">
        <f t="shared" si="2"/>
        <v>4</v>
      </c>
      <c r="L22" s="89">
        <f t="shared" si="0"/>
        <v>3</v>
      </c>
      <c r="M22" s="96">
        <f t="shared" si="3"/>
        <v>0</v>
      </c>
      <c r="N22" s="22" t="str">
        <f t="shared" si="5"/>
        <v/>
      </c>
      <c r="O22" s="22" t="str">
        <f t="shared" si="4"/>
        <v>X</v>
      </c>
      <c r="P22" s="1"/>
    </row>
    <row r="23" spans="1:16" s="2" customFormat="1" ht="14.1" customHeight="1" x14ac:dyDescent="0.3">
      <c r="A23" s="99" t="s">
        <v>71</v>
      </c>
      <c r="B23" s="40"/>
      <c r="C23" s="100" t="s">
        <v>0</v>
      </c>
      <c r="D23" s="100" t="s">
        <v>0</v>
      </c>
      <c r="E23" s="100" t="s">
        <v>0</v>
      </c>
      <c r="F23" s="100" t="s">
        <v>0</v>
      </c>
      <c r="G23" s="100" t="s">
        <v>0</v>
      </c>
      <c r="H23" s="100" t="s">
        <v>0</v>
      </c>
      <c r="I23" s="101" t="s">
        <v>0</v>
      </c>
      <c r="J23" s="83">
        <f t="shared" si="1"/>
        <v>7</v>
      </c>
      <c r="K23" s="85">
        <f t="shared" si="2"/>
        <v>0</v>
      </c>
      <c r="L23" s="89">
        <f t="shared" si="0"/>
        <v>0</v>
      </c>
      <c r="M23" s="96">
        <f t="shared" si="3"/>
        <v>0</v>
      </c>
      <c r="N23" s="22" t="str">
        <f t="shared" si="5"/>
        <v/>
      </c>
      <c r="O23" s="22" t="str">
        <f t="shared" si="4"/>
        <v/>
      </c>
      <c r="P23" s="1"/>
    </row>
    <row r="24" spans="1:16" s="2" customFormat="1" ht="14.1" customHeight="1" x14ac:dyDescent="0.3">
      <c r="A24" s="99" t="s">
        <v>72</v>
      </c>
      <c r="B24" s="40"/>
      <c r="C24" s="100" t="s">
        <v>2</v>
      </c>
      <c r="D24" s="100" t="s">
        <v>2</v>
      </c>
      <c r="E24" s="100" t="s">
        <v>1</v>
      </c>
      <c r="F24" s="100" t="s">
        <v>1</v>
      </c>
      <c r="G24" s="100" t="s">
        <v>3</v>
      </c>
      <c r="H24" s="100" t="s">
        <v>0</v>
      </c>
      <c r="I24" s="101" t="s">
        <v>1</v>
      </c>
      <c r="J24" s="83">
        <f t="shared" si="1"/>
        <v>1</v>
      </c>
      <c r="K24" s="85">
        <f t="shared" si="2"/>
        <v>3</v>
      </c>
      <c r="L24" s="89">
        <f t="shared" si="0"/>
        <v>2</v>
      </c>
      <c r="M24" s="96">
        <f t="shared" si="3"/>
        <v>1</v>
      </c>
      <c r="N24" s="22" t="str">
        <f t="shared" si="5"/>
        <v>X</v>
      </c>
      <c r="O24" s="22" t="str">
        <f t="shared" si="4"/>
        <v>X</v>
      </c>
      <c r="P24" s="1"/>
    </row>
    <row r="25" spans="1:16" s="2" customFormat="1" ht="14.1" customHeight="1" x14ac:dyDescent="0.3">
      <c r="A25" s="99" t="s">
        <v>73</v>
      </c>
      <c r="B25" s="40"/>
      <c r="C25" s="100" t="s">
        <v>0</v>
      </c>
      <c r="D25" s="100" t="s">
        <v>1</v>
      </c>
      <c r="E25" s="100" t="s">
        <v>1</v>
      </c>
      <c r="F25" s="100" t="s">
        <v>1</v>
      </c>
      <c r="G25" s="100" t="s">
        <v>0</v>
      </c>
      <c r="H25" s="100" t="s">
        <v>0</v>
      </c>
      <c r="I25" s="101" t="s">
        <v>0</v>
      </c>
      <c r="J25" s="83">
        <f t="shared" si="1"/>
        <v>4</v>
      </c>
      <c r="K25" s="85">
        <f t="shared" si="2"/>
        <v>3</v>
      </c>
      <c r="L25" s="89">
        <f t="shared" si="0"/>
        <v>0</v>
      </c>
      <c r="M25" s="96">
        <f t="shared" si="3"/>
        <v>0</v>
      </c>
      <c r="N25" s="22" t="str">
        <f t="shared" si="5"/>
        <v/>
      </c>
      <c r="O25" s="22" t="str">
        <f t="shared" si="4"/>
        <v/>
      </c>
      <c r="P25" s="1"/>
    </row>
    <row r="26" spans="1:16" s="2" customFormat="1" ht="14.1" customHeight="1" x14ac:dyDescent="0.3">
      <c r="A26" s="99" t="s">
        <v>74</v>
      </c>
      <c r="B26" s="40"/>
      <c r="C26" s="100" t="s">
        <v>3</v>
      </c>
      <c r="D26" s="100" t="s">
        <v>3</v>
      </c>
      <c r="E26" s="100" t="s">
        <v>3</v>
      </c>
      <c r="F26" s="100" t="s">
        <v>3</v>
      </c>
      <c r="G26" s="100" t="s">
        <v>3</v>
      </c>
      <c r="H26" s="100" t="s">
        <v>3</v>
      </c>
      <c r="I26" s="101" t="s">
        <v>3</v>
      </c>
      <c r="J26" s="83">
        <f t="shared" si="1"/>
        <v>0</v>
      </c>
      <c r="K26" s="85">
        <f t="shared" si="2"/>
        <v>0</v>
      </c>
      <c r="L26" s="89">
        <f t="shared" si="0"/>
        <v>0</v>
      </c>
      <c r="M26" s="96">
        <f t="shared" si="3"/>
        <v>7</v>
      </c>
      <c r="N26" s="22" t="str">
        <f t="shared" si="5"/>
        <v>X</v>
      </c>
      <c r="O26" s="22" t="str">
        <f t="shared" si="4"/>
        <v>X</v>
      </c>
      <c r="P26" s="1"/>
    </row>
    <row r="27" spans="1:16" s="2" customFormat="1" ht="14.1" customHeight="1" x14ac:dyDescent="0.3">
      <c r="A27" s="99" t="s">
        <v>75</v>
      </c>
      <c r="B27" s="40"/>
      <c r="C27" s="100" t="s">
        <v>1</v>
      </c>
      <c r="D27" s="100" t="s">
        <v>2</v>
      </c>
      <c r="E27" s="100" t="s">
        <v>1</v>
      </c>
      <c r="F27" s="100" t="s">
        <v>2</v>
      </c>
      <c r="G27" s="100" t="s">
        <v>2</v>
      </c>
      <c r="H27" s="100" t="s">
        <v>2</v>
      </c>
      <c r="I27" s="101" t="s">
        <v>2</v>
      </c>
      <c r="J27" s="83">
        <f t="shared" si="1"/>
        <v>0</v>
      </c>
      <c r="K27" s="85">
        <f t="shared" si="2"/>
        <v>2</v>
      </c>
      <c r="L27" s="89">
        <f t="shared" si="0"/>
        <v>5</v>
      </c>
      <c r="M27" s="96">
        <f t="shared" si="3"/>
        <v>0</v>
      </c>
      <c r="N27" s="22" t="str">
        <f t="shared" si="5"/>
        <v>X</v>
      </c>
      <c r="O27" s="22" t="str">
        <f t="shared" si="4"/>
        <v>X</v>
      </c>
      <c r="P27" s="1"/>
    </row>
    <row r="28" spans="1:16" s="2" customFormat="1" ht="14.1" customHeight="1" x14ac:dyDescent="0.3">
      <c r="A28" s="99" t="s">
        <v>76</v>
      </c>
      <c r="B28" s="40"/>
      <c r="C28" s="100" t="s">
        <v>0</v>
      </c>
      <c r="D28" s="100" t="s">
        <v>0</v>
      </c>
      <c r="E28" s="100" t="s">
        <v>0</v>
      </c>
      <c r="F28" s="100" t="s">
        <v>0</v>
      </c>
      <c r="G28" s="100" t="s">
        <v>1</v>
      </c>
      <c r="H28" s="100" t="s">
        <v>1</v>
      </c>
      <c r="I28" s="101" t="s">
        <v>1</v>
      </c>
      <c r="J28" s="83">
        <f t="shared" si="1"/>
        <v>4</v>
      </c>
      <c r="K28" s="85">
        <f t="shared" si="2"/>
        <v>3</v>
      </c>
      <c r="L28" s="89">
        <f t="shared" si="0"/>
        <v>0</v>
      </c>
      <c r="M28" s="96">
        <f t="shared" si="3"/>
        <v>0</v>
      </c>
      <c r="N28" s="22" t="str">
        <f t="shared" si="5"/>
        <v/>
      </c>
      <c r="O28" s="22" t="str">
        <f t="shared" si="4"/>
        <v/>
      </c>
      <c r="P28" s="1"/>
    </row>
    <row r="29" spans="1:16" s="2" customFormat="1" ht="14.1" customHeight="1" x14ac:dyDescent="0.3">
      <c r="A29" s="99" t="s">
        <v>77</v>
      </c>
      <c r="B29" s="40"/>
      <c r="C29" s="100" t="s">
        <v>1</v>
      </c>
      <c r="D29" s="100" t="s">
        <v>1</v>
      </c>
      <c r="E29" s="100" t="s">
        <v>1</v>
      </c>
      <c r="F29" s="100" t="s">
        <v>1</v>
      </c>
      <c r="G29" s="100" t="s">
        <v>1</v>
      </c>
      <c r="H29" s="100" t="s">
        <v>1</v>
      </c>
      <c r="I29" s="101" t="s">
        <v>0</v>
      </c>
      <c r="J29" s="83">
        <f t="shared" si="1"/>
        <v>1</v>
      </c>
      <c r="K29" s="85">
        <f t="shared" si="2"/>
        <v>6</v>
      </c>
      <c r="L29" s="89">
        <f t="shared" si="0"/>
        <v>0</v>
      </c>
      <c r="M29" s="96">
        <f t="shared" si="3"/>
        <v>0</v>
      </c>
      <c r="N29" s="22" t="str">
        <f t="shared" si="5"/>
        <v/>
      </c>
      <c r="O29" s="22" t="str">
        <f t="shared" si="4"/>
        <v/>
      </c>
      <c r="P29" s="1"/>
    </row>
    <row r="30" spans="1:16" s="2" customFormat="1" ht="14.1" customHeight="1" x14ac:dyDescent="0.3">
      <c r="A30" s="99" t="s">
        <v>78</v>
      </c>
      <c r="B30" s="40"/>
      <c r="C30" s="100" t="s">
        <v>43</v>
      </c>
      <c r="D30" s="100" t="s">
        <v>43</v>
      </c>
      <c r="E30" s="100" t="s">
        <v>43</v>
      </c>
      <c r="F30" s="100" t="s">
        <v>43</v>
      </c>
      <c r="G30" s="100" t="s">
        <v>43</v>
      </c>
      <c r="H30" s="100" t="s">
        <v>43</v>
      </c>
      <c r="I30" s="101" t="s">
        <v>43</v>
      </c>
      <c r="J30" s="83">
        <f t="shared" si="1"/>
        <v>0</v>
      </c>
      <c r="K30" s="85">
        <f t="shared" si="2"/>
        <v>0</v>
      </c>
      <c r="L30" s="89">
        <f t="shared" si="0"/>
        <v>0</v>
      </c>
      <c r="M30" s="96">
        <f t="shared" si="3"/>
        <v>0</v>
      </c>
      <c r="N30" s="22" t="str">
        <f t="shared" si="5"/>
        <v/>
      </c>
      <c r="O30" s="22" t="str">
        <f t="shared" si="4"/>
        <v/>
      </c>
      <c r="P30" s="1"/>
    </row>
    <row r="31" spans="1:16" s="2" customFormat="1" ht="14.1" customHeight="1" x14ac:dyDescent="0.3">
      <c r="A31" s="99" t="s">
        <v>79</v>
      </c>
      <c r="B31" s="40"/>
      <c r="C31" s="100" t="s">
        <v>0</v>
      </c>
      <c r="D31" s="100" t="s">
        <v>0</v>
      </c>
      <c r="E31" s="100" t="s">
        <v>1</v>
      </c>
      <c r="F31" s="100" t="s">
        <v>0</v>
      </c>
      <c r="G31" s="100" t="s">
        <v>0</v>
      </c>
      <c r="H31" s="100" t="s">
        <v>1</v>
      </c>
      <c r="I31" s="101" t="s">
        <v>0</v>
      </c>
      <c r="J31" s="83">
        <f t="shared" si="1"/>
        <v>5</v>
      </c>
      <c r="K31" s="85">
        <f t="shared" si="2"/>
        <v>2</v>
      </c>
      <c r="L31" s="89">
        <f t="shared" si="0"/>
        <v>0</v>
      </c>
      <c r="M31" s="96">
        <f t="shared" si="3"/>
        <v>0</v>
      </c>
      <c r="N31" s="22" t="str">
        <f t="shared" si="5"/>
        <v/>
      </c>
      <c r="O31" s="22" t="str">
        <f t="shared" si="4"/>
        <v/>
      </c>
      <c r="P31" s="1"/>
    </row>
    <row r="32" spans="1:16" s="2" customFormat="1" ht="14.1" customHeight="1" x14ac:dyDescent="0.3">
      <c r="A32" s="99" t="s">
        <v>80</v>
      </c>
      <c r="B32" s="40"/>
      <c r="C32" s="100" t="s">
        <v>1</v>
      </c>
      <c r="D32" s="100" t="s">
        <v>0</v>
      </c>
      <c r="E32" s="100" t="s">
        <v>0</v>
      </c>
      <c r="F32" s="100" t="s">
        <v>0</v>
      </c>
      <c r="G32" s="100" t="s">
        <v>3</v>
      </c>
      <c r="H32" s="100" t="s">
        <v>0</v>
      </c>
      <c r="I32" s="101" t="s">
        <v>3</v>
      </c>
      <c r="J32" s="83">
        <f t="shared" si="1"/>
        <v>4</v>
      </c>
      <c r="K32" s="85">
        <f t="shared" si="2"/>
        <v>1</v>
      </c>
      <c r="L32" s="89">
        <f t="shared" si="0"/>
        <v>0</v>
      </c>
      <c r="M32" s="96">
        <f t="shared" si="3"/>
        <v>2</v>
      </c>
      <c r="N32" s="22" t="str">
        <f t="shared" si="5"/>
        <v/>
      </c>
      <c r="O32" s="22" t="str">
        <f t="shared" si="4"/>
        <v>X</v>
      </c>
      <c r="P32" s="1"/>
    </row>
    <row r="33" spans="1:16" s="2" customFormat="1" ht="14.1" customHeight="1" x14ac:dyDescent="0.3">
      <c r="A33" s="99" t="s">
        <v>81</v>
      </c>
      <c r="B33" s="40"/>
      <c r="C33" s="100" t="s">
        <v>2</v>
      </c>
      <c r="D33" s="100" t="s">
        <v>2</v>
      </c>
      <c r="E33" s="100" t="s">
        <v>2</v>
      </c>
      <c r="F33" s="100" t="s">
        <v>2</v>
      </c>
      <c r="G33" s="100" t="s">
        <v>0</v>
      </c>
      <c r="H33" s="100" t="s">
        <v>0</v>
      </c>
      <c r="I33" s="101" t="s">
        <v>0</v>
      </c>
      <c r="J33" s="83">
        <f t="shared" si="1"/>
        <v>3</v>
      </c>
      <c r="K33" s="85">
        <f t="shared" si="2"/>
        <v>0</v>
      </c>
      <c r="L33" s="89">
        <f t="shared" si="0"/>
        <v>4</v>
      </c>
      <c r="M33" s="96">
        <f t="shared" si="3"/>
        <v>0</v>
      </c>
      <c r="N33" s="22" t="str">
        <f t="shared" si="5"/>
        <v>X</v>
      </c>
      <c r="O33" s="22" t="str">
        <f t="shared" si="4"/>
        <v/>
      </c>
      <c r="P33" s="1"/>
    </row>
    <row r="34" spans="1:16" s="2" customFormat="1" ht="14.1" customHeight="1" x14ac:dyDescent="0.3">
      <c r="A34" s="99" t="s">
        <v>82</v>
      </c>
      <c r="B34" s="40"/>
      <c r="C34" s="100" t="s">
        <v>0</v>
      </c>
      <c r="D34" s="100" t="s">
        <v>0</v>
      </c>
      <c r="E34" s="100" t="s">
        <v>0</v>
      </c>
      <c r="F34" s="100" t="s">
        <v>0</v>
      </c>
      <c r="G34" s="100" t="s">
        <v>0</v>
      </c>
      <c r="H34" s="100" t="s">
        <v>0</v>
      </c>
      <c r="I34" s="101" t="s">
        <v>0</v>
      </c>
      <c r="J34" s="83">
        <f t="shared" si="1"/>
        <v>7</v>
      </c>
      <c r="K34" s="85">
        <f t="shared" si="2"/>
        <v>0</v>
      </c>
      <c r="L34" s="89">
        <f t="shared" si="0"/>
        <v>0</v>
      </c>
      <c r="M34" s="96">
        <f t="shared" si="3"/>
        <v>0</v>
      </c>
      <c r="N34" s="22" t="str">
        <f t="shared" si="5"/>
        <v/>
      </c>
      <c r="O34" s="22" t="str">
        <f t="shared" si="4"/>
        <v/>
      </c>
      <c r="P34" s="1"/>
    </row>
    <row r="35" spans="1:16" s="2" customFormat="1" ht="14.1" customHeight="1" x14ac:dyDescent="0.3">
      <c r="A35" s="99" t="s">
        <v>83</v>
      </c>
      <c r="B35" s="40"/>
      <c r="C35" s="100" t="s">
        <v>0</v>
      </c>
      <c r="D35" s="100" t="s">
        <v>0</v>
      </c>
      <c r="E35" s="100" t="s">
        <v>0</v>
      </c>
      <c r="F35" s="100" t="s">
        <v>0</v>
      </c>
      <c r="G35" s="100" t="s">
        <v>0</v>
      </c>
      <c r="H35" s="100" t="s">
        <v>0</v>
      </c>
      <c r="I35" s="100" t="s">
        <v>1</v>
      </c>
      <c r="J35" s="83">
        <f t="shared" si="1"/>
        <v>6</v>
      </c>
      <c r="K35" s="85">
        <f t="shared" si="2"/>
        <v>1</v>
      </c>
      <c r="L35" s="89">
        <f t="shared" si="0"/>
        <v>0</v>
      </c>
      <c r="M35" s="96">
        <f t="shared" si="3"/>
        <v>0</v>
      </c>
      <c r="N35" s="22" t="str">
        <f t="shared" si="5"/>
        <v/>
      </c>
      <c r="O35" s="22" t="str">
        <f t="shared" si="4"/>
        <v/>
      </c>
      <c r="P35" s="1"/>
    </row>
    <row r="36" spans="1:16" s="2" customFormat="1" ht="14.1" customHeight="1" x14ac:dyDescent="0.3">
      <c r="A36" s="99" t="s">
        <v>84</v>
      </c>
      <c r="B36" s="40"/>
      <c r="C36" s="100" t="s">
        <v>1</v>
      </c>
      <c r="D36" s="100" t="s">
        <v>1</v>
      </c>
      <c r="E36" s="100" t="s">
        <v>1</v>
      </c>
      <c r="F36" s="100" t="s">
        <v>1</v>
      </c>
      <c r="G36" s="100" t="s">
        <v>0</v>
      </c>
      <c r="H36" s="100" t="s">
        <v>0</v>
      </c>
      <c r="I36" s="100" t="s">
        <v>0</v>
      </c>
      <c r="J36" s="83">
        <f t="shared" si="1"/>
        <v>3</v>
      </c>
      <c r="K36" s="85">
        <f t="shared" si="2"/>
        <v>4</v>
      </c>
      <c r="L36" s="89">
        <f t="shared" si="0"/>
        <v>0</v>
      </c>
      <c r="M36" s="96">
        <f t="shared" si="3"/>
        <v>0</v>
      </c>
      <c r="N36" s="22" t="str">
        <f t="shared" si="5"/>
        <v/>
      </c>
      <c r="O36" s="22" t="str">
        <f t="shared" si="4"/>
        <v/>
      </c>
      <c r="P36" s="1"/>
    </row>
    <row r="37" spans="1:16" s="2" customFormat="1" ht="14.1" customHeight="1" x14ac:dyDescent="0.3">
      <c r="A37" s="99" t="s">
        <v>85</v>
      </c>
      <c r="B37" s="40"/>
      <c r="C37" s="100" t="s">
        <v>43</v>
      </c>
      <c r="D37" s="100" t="s">
        <v>43</v>
      </c>
      <c r="E37" s="100" t="s">
        <v>43</v>
      </c>
      <c r="F37" s="100" t="s">
        <v>43</v>
      </c>
      <c r="G37" s="100" t="s">
        <v>43</v>
      </c>
      <c r="H37" s="100" t="s">
        <v>43</v>
      </c>
      <c r="I37" s="100" t="s">
        <v>43</v>
      </c>
      <c r="J37" s="83">
        <f t="shared" si="1"/>
        <v>0</v>
      </c>
      <c r="K37" s="85">
        <f t="shared" si="2"/>
        <v>0</v>
      </c>
      <c r="L37" s="89">
        <f t="shared" si="0"/>
        <v>0</v>
      </c>
      <c r="M37" s="96">
        <f t="shared" si="3"/>
        <v>0</v>
      </c>
      <c r="N37" s="22" t="str">
        <f t="shared" si="5"/>
        <v/>
      </c>
      <c r="O37" s="22" t="str">
        <f t="shared" si="4"/>
        <v/>
      </c>
      <c r="P37" s="1"/>
    </row>
    <row r="38" spans="1:16" s="2" customFormat="1" ht="14.1" customHeight="1" x14ac:dyDescent="0.3">
      <c r="A38" s="99" t="s">
        <v>86</v>
      </c>
      <c r="B38" s="40"/>
      <c r="C38" s="100" t="s">
        <v>1</v>
      </c>
      <c r="D38" s="100" t="s">
        <v>1</v>
      </c>
      <c r="E38" s="100" t="s">
        <v>1</v>
      </c>
      <c r="F38" s="100" t="s">
        <v>1</v>
      </c>
      <c r="G38" s="100" t="s">
        <v>0</v>
      </c>
      <c r="H38" s="100" t="s">
        <v>0</v>
      </c>
      <c r="I38" s="100" t="s">
        <v>0</v>
      </c>
      <c r="J38" s="83">
        <f t="shared" si="1"/>
        <v>3</v>
      </c>
      <c r="K38" s="85">
        <f t="shared" si="2"/>
        <v>4</v>
      </c>
      <c r="L38" s="89">
        <f t="shared" si="0"/>
        <v>0</v>
      </c>
      <c r="M38" s="96">
        <f t="shared" si="3"/>
        <v>0</v>
      </c>
      <c r="N38" s="22" t="str">
        <f t="shared" si="5"/>
        <v/>
      </c>
      <c r="O38" s="22" t="str">
        <f t="shared" si="4"/>
        <v/>
      </c>
      <c r="P38" s="1"/>
    </row>
    <row r="39" spans="1:16" s="2" customFormat="1" ht="14.1" customHeight="1" x14ac:dyDescent="0.3">
      <c r="A39" s="99" t="s">
        <v>87</v>
      </c>
      <c r="B39" s="40"/>
      <c r="C39" s="100" t="s">
        <v>43</v>
      </c>
      <c r="D39" s="100" t="s">
        <v>43</v>
      </c>
      <c r="E39" s="100" t="s">
        <v>43</v>
      </c>
      <c r="F39" s="100" t="s">
        <v>43</v>
      </c>
      <c r="G39" s="100" t="s">
        <v>43</v>
      </c>
      <c r="H39" s="100" t="s">
        <v>43</v>
      </c>
      <c r="I39" s="100" t="s">
        <v>43</v>
      </c>
      <c r="J39" s="83">
        <f t="shared" si="1"/>
        <v>0</v>
      </c>
      <c r="K39" s="85">
        <f t="shared" si="2"/>
        <v>0</v>
      </c>
      <c r="L39" s="89">
        <f t="shared" si="0"/>
        <v>0</v>
      </c>
      <c r="M39" s="96">
        <f t="shared" si="3"/>
        <v>0</v>
      </c>
      <c r="N39" s="22" t="str">
        <f t="shared" si="5"/>
        <v/>
      </c>
      <c r="O39" s="22" t="str">
        <f t="shared" si="4"/>
        <v/>
      </c>
      <c r="P39" s="1"/>
    </row>
    <row r="40" spans="1:16" s="2" customFormat="1" ht="14.1" customHeight="1" x14ac:dyDescent="0.3">
      <c r="A40" s="99" t="s">
        <v>88</v>
      </c>
      <c r="B40" s="40"/>
      <c r="C40" s="100" t="s">
        <v>0</v>
      </c>
      <c r="D40" s="100" t="s">
        <v>2</v>
      </c>
      <c r="E40" s="100" t="s">
        <v>0</v>
      </c>
      <c r="F40" s="100" t="s">
        <v>1</v>
      </c>
      <c r="G40" s="100" t="s">
        <v>0</v>
      </c>
      <c r="H40" s="100" t="s">
        <v>0</v>
      </c>
      <c r="I40" s="100" t="s">
        <v>0</v>
      </c>
      <c r="J40" s="83">
        <f t="shared" si="1"/>
        <v>5</v>
      </c>
      <c r="K40" s="85">
        <f t="shared" si="2"/>
        <v>1</v>
      </c>
      <c r="L40" s="89">
        <f t="shared" si="0"/>
        <v>1</v>
      </c>
      <c r="M40" s="96">
        <f t="shared" si="3"/>
        <v>0</v>
      </c>
      <c r="N40" s="22" t="str">
        <f t="shared" si="5"/>
        <v>X</v>
      </c>
      <c r="O40" s="22" t="str">
        <f t="shared" si="4"/>
        <v/>
      </c>
      <c r="P40" s="1"/>
    </row>
    <row r="41" spans="1:16" s="2" customFormat="1" ht="14.1" customHeight="1" x14ac:dyDescent="0.3">
      <c r="A41" s="99" t="s">
        <v>89</v>
      </c>
      <c r="B41" s="40"/>
      <c r="C41" s="100" t="s">
        <v>1</v>
      </c>
      <c r="D41" s="100" t="s">
        <v>1</v>
      </c>
      <c r="E41" s="100" t="s">
        <v>1</v>
      </c>
      <c r="F41" s="100" t="s">
        <v>1</v>
      </c>
      <c r="G41" s="100" t="s">
        <v>0</v>
      </c>
      <c r="H41" s="100" t="s">
        <v>0</v>
      </c>
      <c r="I41" s="100" t="s">
        <v>0</v>
      </c>
      <c r="J41" s="83">
        <f t="shared" si="1"/>
        <v>3</v>
      </c>
      <c r="K41" s="85">
        <f t="shared" si="2"/>
        <v>4</v>
      </c>
      <c r="L41" s="89">
        <f t="shared" si="0"/>
        <v>0</v>
      </c>
      <c r="M41" s="96">
        <f t="shared" si="3"/>
        <v>0</v>
      </c>
      <c r="N41" s="22" t="str">
        <f t="shared" si="5"/>
        <v/>
      </c>
      <c r="O41" s="22" t="str">
        <f t="shared" si="4"/>
        <v/>
      </c>
      <c r="P41" s="1"/>
    </row>
    <row r="42" spans="1:16" s="2" customFormat="1" ht="14.1" customHeight="1" x14ac:dyDescent="0.3">
      <c r="A42" s="99" t="s">
        <v>90</v>
      </c>
      <c r="B42" s="40"/>
      <c r="C42" s="100" t="s">
        <v>0</v>
      </c>
      <c r="D42" s="100" t="s">
        <v>0</v>
      </c>
      <c r="E42" s="100" t="s">
        <v>0</v>
      </c>
      <c r="F42" s="100" t="s">
        <v>0</v>
      </c>
      <c r="G42" s="100" t="s">
        <v>1</v>
      </c>
      <c r="H42" s="100" t="s">
        <v>1</v>
      </c>
      <c r="I42" s="100" t="s">
        <v>1</v>
      </c>
      <c r="J42" s="83">
        <f t="shared" si="1"/>
        <v>4</v>
      </c>
      <c r="K42" s="85">
        <f t="shared" si="2"/>
        <v>3</v>
      </c>
      <c r="L42" s="89">
        <f t="shared" si="0"/>
        <v>0</v>
      </c>
      <c r="M42" s="96">
        <f t="shared" si="3"/>
        <v>0</v>
      </c>
      <c r="N42" s="22" t="str">
        <f t="shared" si="5"/>
        <v/>
      </c>
      <c r="O42" s="22" t="str">
        <f t="shared" si="4"/>
        <v/>
      </c>
      <c r="P42" s="1"/>
    </row>
    <row r="43" spans="1:16" s="2" customFormat="1" ht="14.1" customHeight="1" x14ac:dyDescent="0.3">
      <c r="A43" s="99" t="s">
        <v>91</v>
      </c>
      <c r="B43" s="40"/>
      <c r="C43" s="100" t="s">
        <v>0</v>
      </c>
      <c r="D43" s="100" t="s">
        <v>0</v>
      </c>
      <c r="E43" s="100" t="s">
        <v>0</v>
      </c>
      <c r="F43" s="100" t="s">
        <v>1</v>
      </c>
      <c r="G43" s="100" t="s">
        <v>2</v>
      </c>
      <c r="H43" s="100" t="s">
        <v>0</v>
      </c>
      <c r="I43" s="100" t="s">
        <v>0</v>
      </c>
      <c r="J43" s="83">
        <f t="shared" si="1"/>
        <v>5</v>
      </c>
      <c r="K43" s="85">
        <f t="shared" si="2"/>
        <v>1</v>
      </c>
      <c r="L43" s="89">
        <f t="shared" si="0"/>
        <v>1</v>
      </c>
      <c r="M43" s="96">
        <f t="shared" si="3"/>
        <v>0</v>
      </c>
      <c r="N43" s="22" t="str">
        <f t="shared" si="5"/>
        <v/>
      </c>
      <c r="O43" s="22" t="str">
        <f t="shared" si="4"/>
        <v>X</v>
      </c>
      <c r="P43" s="1"/>
    </row>
    <row r="44" spans="1:16" s="2" customFormat="1" ht="14.1" customHeight="1" x14ac:dyDescent="0.3">
      <c r="A44" s="99"/>
      <c r="B44" s="40"/>
      <c r="C44" s="100" t="s">
        <v>1</v>
      </c>
      <c r="D44" s="100" t="s">
        <v>0</v>
      </c>
      <c r="E44" s="100" t="s">
        <v>0</v>
      </c>
      <c r="F44" s="100" t="s">
        <v>0</v>
      </c>
      <c r="G44" s="100" t="s">
        <v>0</v>
      </c>
      <c r="H44" s="100" t="s">
        <v>2</v>
      </c>
      <c r="I44" s="100" t="s">
        <v>0</v>
      </c>
      <c r="J44" s="83">
        <f t="shared" si="1"/>
        <v>5</v>
      </c>
      <c r="K44" s="85">
        <f t="shared" si="2"/>
        <v>1</v>
      </c>
      <c r="L44" s="89">
        <f t="shared" si="0"/>
        <v>1</v>
      </c>
      <c r="M44" s="96">
        <f t="shared" si="3"/>
        <v>0</v>
      </c>
      <c r="N44" s="22" t="str">
        <f t="shared" si="5"/>
        <v/>
      </c>
      <c r="O44" s="22" t="str">
        <f t="shared" si="4"/>
        <v>X</v>
      </c>
      <c r="P44" s="1"/>
    </row>
    <row r="45" spans="1:16" s="2" customFormat="1" ht="14.1" customHeight="1" x14ac:dyDescent="0.3">
      <c r="A45" s="99" t="s">
        <v>92</v>
      </c>
      <c r="B45" s="40"/>
      <c r="C45" s="100" t="s">
        <v>0</v>
      </c>
      <c r="D45" s="100" t="s">
        <v>0</v>
      </c>
      <c r="E45" s="100" t="s">
        <v>0</v>
      </c>
      <c r="F45" s="100" t="s">
        <v>0</v>
      </c>
      <c r="G45" s="100" t="s">
        <v>3</v>
      </c>
      <c r="H45" s="100" t="s">
        <v>0</v>
      </c>
      <c r="I45" s="101" t="s">
        <v>0</v>
      </c>
      <c r="J45" s="83">
        <f t="shared" si="1"/>
        <v>6</v>
      </c>
      <c r="K45" s="85">
        <f t="shared" si="2"/>
        <v>0</v>
      </c>
      <c r="L45" s="89">
        <f t="shared" si="0"/>
        <v>0</v>
      </c>
      <c r="M45" s="96">
        <f t="shared" si="3"/>
        <v>1</v>
      </c>
      <c r="N45" s="22" t="str">
        <f t="shared" si="5"/>
        <v/>
      </c>
      <c r="O45" s="22" t="str">
        <f t="shared" si="4"/>
        <v>X</v>
      </c>
      <c r="P45" s="1"/>
    </row>
    <row r="46" spans="1:16" s="2" customFormat="1" ht="14.1" customHeight="1" x14ac:dyDescent="0.3">
      <c r="A46" s="99" t="s">
        <v>93</v>
      </c>
      <c r="B46" s="40"/>
      <c r="C46" s="100" t="s">
        <v>1</v>
      </c>
      <c r="D46" s="100" t="s">
        <v>0</v>
      </c>
      <c r="E46" s="100" t="s">
        <v>1</v>
      </c>
      <c r="F46" s="100" t="s">
        <v>1</v>
      </c>
      <c r="G46" s="100" t="s">
        <v>2</v>
      </c>
      <c r="H46" s="100" t="s">
        <v>2</v>
      </c>
      <c r="I46" s="101" t="s">
        <v>2</v>
      </c>
      <c r="J46" s="83">
        <f t="shared" si="1"/>
        <v>1</v>
      </c>
      <c r="K46" s="85">
        <f t="shared" si="2"/>
        <v>3</v>
      </c>
      <c r="L46" s="89">
        <f t="shared" si="0"/>
        <v>3</v>
      </c>
      <c r="M46" s="96">
        <f t="shared" si="3"/>
        <v>0</v>
      </c>
      <c r="N46" s="22" t="str">
        <f t="shared" si="5"/>
        <v/>
      </c>
      <c r="O46" s="22" t="str">
        <f t="shared" si="4"/>
        <v>X</v>
      </c>
      <c r="P46" s="1"/>
    </row>
    <row r="47" spans="1:16" s="2" customFormat="1" ht="14.1" customHeight="1" x14ac:dyDescent="0.3">
      <c r="A47" s="99" t="s">
        <v>94</v>
      </c>
      <c r="B47" s="40"/>
      <c r="C47" s="100" t="s">
        <v>1</v>
      </c>
      <c r="D47" s="100" t="s">
        <v>1</v>
      </c>
      <c r="E47" s="100" t="s">
        <v>1</v>
      </c>
      <c r="F47" s="100" t="s">
        <v>1</v>
      </c>
      <c r="G47" s="100" t="s">
        <v>0</v>
      </c>
      <c r="H47" s="100" t="s">
        <v>0</v>
      </c>
      <c r="I47" s="101" t="s">
        <v>0</v>
      </c>
      <c r="J47" s="83">
        <f t="shared" si="1"/>
        <v>3</v>
      </c>
      <c r="K47" s="85">
        <f t="shared" si="2"/>
        <v>4</v>
      </c>
      <c r="L47" s="89">
        <f t="shared" si="0"/>
        <v>0</v>
      </c>
      <c r="M47" s="96">
        <f t="shared" si="3"/>
        <v>0</v>
      </c>
      <c r="N47" s="22" t="str">
        <f t="shared" si="5"/>
        <v/>
      </c>
      <c r="O47" s="22" t="str">
        <f t="shared" si="4"/>
        <v/>
      </c>
      <c r="P47" s="1"/>
    </row>
    <row r="48" spans="1:16" s="2" customFormat="1" ht="14.1" customHeight="1" x14ac:dyDescent="0.3">
      <c r="A48" s="99" t="s">
        <v>95</v>
      </c>
      <c r="B48" s="40"/>
      <c r="C48" s="100" t="s">
        <v>0</v>
      </c>
      <c r="D48" s="100" t="s">
        <v>0</v>
      </c>
      <c r="E48" s="100" t="s">
        <v>0</v>
      </c>
      <c r="F48" s="100" t="s">
        <v>0</v>
      </c>
      <c r="G48" s="100" t="s">
        <v>0</v>
      </c>
      <c r="H48" s="100" t="s">
        <v>3</v>
      </c>
      <c r="I48" s="101" t="s">
        <v>3</v>
      </c>
      <c r="J48" s="83">
        <f t="shared" si="1"/>
        <v>5</v>
      </c>
      <c r="K48" s="85">
        <f t="shared" si="2"/>
        <v>0</v>
      </c>
      <c r="L48" s="89">
        <f t="shared" si="0"/>
        <v>0</v>
      </c>
      <c r="M48" s="96">
        <f t="shared" si="3"/>
        <v>2</v>
      </c>
      <c r="N48" s="22" t="str">
        <f t="shared" si="5"/>
        <v/>
      </c>
      <c r="O48" s="22" t="str">
        <f t="shared" si="4"/>
        <v>X</v>
      </c>
      <c r="P48" s="1"/>
    </row>
    <row r="49" spans="1:16" s="2" customFormat="1" ht="14.1" customHeight="1" x14ac:dyDescent="0.3">
      <c r="A49" s="99"/>
      <c r="B49" s="40"/>
      <c r="C49" s="100"/>
      <c r="D49" s="100"/>
      <c r="E49" s="100"/>
      <c r="F49" s="100"/>
      <c r="G49" s="100"/>
      <c r="H49" s="100"/>
      <c r="I49" s="101"/>
      <c r="J49" s="83">
        <f t="shared" si="1"/>
        <v>0</v>
      </c>
      <c r="K49" s="85">
        <f t="shared" si="2"/>
        <v>0</v>
      </c>
      <c r="L49" s="89">
        <f t="shared" si="0"/>
        <v>0</v>
      </c>
      <c r="M49" s="96">
        <f t="shared" si="3"/>
        <v>0</v>
      </c>
      <c r="N49" s="22" t="str">
        <f t="shared" si="5"/>
        <v/>
      </c>
      <c r="O49" s="22" t="str">
        <f t="shared" si="4"/>
        <v/>
      </c>
      <c r="P49" s="1"/>
    </row>
    <row r="50" spans="1:16" s="2" customFormat="1" ht="14.1" customHeight="1" x14ac:dyDescent="0.3">
      <c r="A50" s="99"/>
      <c r="B50" s="40"/>
      <c r="C50" s="100"/>
      <c r="D50" s="100"/>
      <c r="E50" s="100"/>
      <c r="F50" s="100"/>
      <c r="G50" s="100"/>
      <c r="H50" s="100"/>
      <c r="I50" s="101"/>
      <c r="J50" s="83">
        <f t="shared" si="1"/>
        <v>0</v>
      </c>
      <c r="K50" s="85">
        <f t="shared" si="2"/>
        <v>0</v>
      </c>
      <c r="L50" s="89">
        <f t="shared" si="0"/>
        <v>0</v>
      </c>
      <c r="M50" s="96">
        <f t="shared" si="3"/>
        <v>0</v>
      </c>
      <c r="N50" s="22" t="str">
        <f t="shared" si="5"/>
        <v/>
      </c>
      <c r="O50" s="22" t="str">
        <f t="shared" si="4"/>
        <v/>
      </c>
      <c r="P50" s="1"/>
    </row>
    <row r="51" spans="1:16" s="2" customFormat="1" ht="14.1" customHeight="1" x14ac:dyDescent="0.3">
      <c r="A51" s="99"/>
      <c r="B51" s="40"/>
      <c r="C51" s="100"/>
      <c r="D51" s="100"/>
      <c r="E51" s="100"/>
      <c r="F51" s="100"/>
      <c r="G51" s="100"/>
      <c r="H51" s="100"/>
      <c r="I51" s="101"/>
      <c r="J51" s="83">
        <f t="shared" si="1"/>
        <v>0</v>
      </c>
      <c r="K51" s="85">
        <f t="shared" si="2"/>
        <v>0</v>
      </c>
      <c r="L51" s="89">
        <f t="shared" si="0"/>
        <v>0</v>
      </c>
      <c r="M51" s="96">
        <f t="shared" si="3"/>
        <v>0</v>
      </c>
      <c r="N51" s="22" t="str">
        <f t="shared" si="5"/>
        <v/>
      </c>
      <c r="O51" s="22" t="str">
        <f t="shared" si="4"/>
        <v/>
      </c>
      <c r="P51" s="1"/>
    </row>
    <row r="52" spans="1:16" s="2" customFormat="1" ht="14.1" customHeight="1" x14ac:dyDescent="0.3">
      <c r="A52" s="99"/>
      <c r="B52" s="40"/>
      <c r="C52" s="100"/>
      <c r="D52" s="100"/>
      <c r="E52" s="100"/>
      <c r="F52" s="100"/>
      <c r="G52" s="100"/>
      <c r="H52" s="100"/>
      <c r="I52" s="101"/>
      <c r="J52" s="83">
        <f t="shared" si="1"/>
        <v>0</v>
      </c>
      <c r="K52" s="85">
        <f t="shared" si="2"/>
        <v>0</v>
      </c>
      <c r="L52" s="89">
        <f t="shared" si="0"/>
        <v>0</v>
      </c>
      <c r="M52" s="96">
        <f t="shared" si="3"/>
        <v>0</v>
      </c>
      <c r="N52" s="22" t="str">
        <f t="shared" si="5"/>
        <v/>
      </c>
      <c r="O52" s="22" t="str">
        <f t="shared" si="4"/>
        <v/>
      </c>
      <c r="P52" s="1"/>
    </row>
    <row r="53" spans="1:16" s="2" customFormat="1" ht="14.1" customHeight="1" x14ac:dyDescent="0.3">
      <c r="A53" s="99"/>
      <c r="B53" s="40"/>
      <c r="C53" s="100"/>
      <c r="D53" s="100"/>
      <c r="E53" s="100"/>
      <c r="F53" s="100"/>
      <c r="G53" s="100"/>
      <c r="H53" s="100"/>
      <c r="I53" s="101"/>
      <c r="J53" s="83">
        <f t="shared" si="1"/>
        <v>0</v>
      </c>
      <c r="K53" s="85">
        <f t="shared" si="2"/>
        <v>0</v>
      </c>
      <c r="L53" s="89">
        <f t="shared" si="0"/>
        <v>0</v>
      </c>
      <c r="M53" s="96">
        <f t="shared" si="3"/>
        <v>0</v>
      </c>
      <c r="N53" s="22" t="str">
        <f t="shared" si="5"/>
        <v/>
      </c>
      <c r="O53" s="22" t="str">
        <f t="shared" si="4"/>
        <v/>
      </c>
      <c r="P53" s="1"/>
    </row>
    <row r="54" spans="1:16" s="2" customFormat="1" ht="14.1" customHeight="1" x14ac:dyDescent="0.3">
      <c r="A54" s="99"/>
      <c r="B54" s="40"/>
      <c r="C54" s="100"/>
      <c r="D54" s="100"/>
      <c r="E54" s="100"/>
      <c r="F54" s="100"/>
      <c r="G54" s="100"/>
      <c r="H54" s="100"/>
      <c r="I54" s="101"/>
      <c r="J54" s="83">
        <f t="shared" si="1"/>
        <v>0</v>
      </c>
      <c r="K54" s="85">
        <f t="shared" si="2"/>
        <v>0</v>
      </c>
      <c r="L54" s="89">
        <f t="shared" si="0"/>
        <v>0</v>
      </c>
      <c r="M54" s="96">
        <f t="shared" si="3"/>
        <v>0</v>
      </c>
      <c r="N54" s="22" t="str">
        <f t="shared" si="5"/>
        <v/>
      </c>
      <c r="O54" s="22" t="str">
        <f t="shared" si="4"/>
        <v/>
      </c>
      <c r="P54" s="1"/>
    </row>
    <row r="55" spans="1:16" s="1" customFormat="1" ht="21" customHeight="1" x14ac:dyDescent="0.25">
      <c r="A55" s="43" t="s">
        <v>0</v>
      </c>
      <c r="B55" s="15"/>
      <c r="C55" s="15">
        <f t="shared" ref="C55:I55" si="6">COUNTIF(C5:C54,"أ")</f>
        <v>17</v>
      </c>
      <c r="D55" s="15">
        <f t="shared" si="6"/>
        <v>18</v>
      </c>
      <c r="E55" s="15">
        <f t="shared" si="6"/>
        <v>17</v>
      </c>
      <c r="F55" s="15">
        <f t="shared" si="6"/>
        <v>17</v>
      </c>
      <c r="G55" s="15">
        <f t="shared" si="6"/>
        <v>18</v>
      </c>
      <c r="H55" s="15">
        <f t="shared" si="6"/>
        <v>20</v>
      </c>
      <c r="I55" s="15">
        <f t="shared" si="6"/>
        <v>17</v>
      </c>
      <c r="J55" s="84">
        <f>SUM(J5:J54)</f>
        <v>124</v>
      </c>
      <c r="K55" s="86"/>
      <c r="L55" s="90"/>
      <c r="M55" s="97"/>
      <c r="N55" s="102">
        <f>COUNTIF(N5:N54,"X")</f>
        <v>13</v>
      </c>
      <c r="O55" s="102">
        <f>COUNTIF(O5:O54,"X")</f>
        <v>20</v>
      </c>
    </row>
    <row r="56" spans="1:16" s="1" customFormat="1" ht="21" customHeight="1" x14ac:dyDescent="0.25">
      <c r="A56" s="44" t="s">
        <v>1</v>
      </c>
      <c r="B56" s="16"/>
      <c r="C56" s="16">
        <f t="shared" ref="C56:I56" si="7">COUNTIF(C5:C54,"ب")</f>
        <v>13</v>
      </c>
      <c r="D56" s="16">
        <f t="shared" si="7"/>
        <v>10</v>
      </c>
      <c r="E56" s="16">
        <f t="shared" si="7"/>
        <v>15</v>
      </c>
      <c r="F56" s="16">
        <f t="shared" si="7"/>
        <v>13</v>
      </c>
      <c r="G56" s="16">
        <f t="shared" si="7"/>
        <v>8</v>
      </c>
      <c r="H56" s="16">
        <f t="shared" si="7"/>
        <v>7</v>
      </c>
      <c r="I56" s="16">
        <f t="shared" si="7"/>
        <v>8</v>
      </c>
      <c r="J56" s="88"/>
      <c r="K56" s="87">
        <f>SUM(K6:K55)</f>
        <v>74</v>
      </c>
      <c r="L56" s="91"/>
      <c r="M56" s="97"/>
      <c r="N56" s="6"/>
      <c r="O56" s="6"/>
    </row>
    <row r="57" spans="1:16" s="1" customFormat="1" ht="21" customHeight="1" x14ac:dyDescent="0.25">
      <c r="A57" s="44" t="s">
        <v>2</v>
      </c>
      <c r="B57" s="17"/>
      <c r="C57" s="17">
        <f t="shared" ref="C57:I57" si="8">COUNTIF(C5:C54,"ج")</f>
        <v>7</v>
      </c>
      <c r="D57" s="17">
        <f t="shared" si="8"/>
        <v>11</v>
      </c>
      <c r="E57" s="17">
        <f t="shared" si="8"/>
        <v>7</v>
      </c>
      <c r="F57" s="17">
        <f t="shared" si="8"/>
        <v>7</v>
      </c>
      <c r="G57" s="17">
        <f t="shared" si="8"/>
        <v>8</v>
      </c>
      <c r="H57" s="17">
        <f t="shared" si="8"/>
        <v>6</v>
      </c>
      <c r="I57" s="17">
        <f t="shared" si="8"/>
        <v>8</v>
      </c>
      <c r="J57" s="92"/>
      <c r="K57" s="93"/>
      <c r="L57" s="17">
        <f>SUM(L7:L56)</f>
        <v>49</v>
      </c>
      <c r="M57" s="98"/>
      <c r="N57" s="6"/>
      <c r="O57" s="6"/>
    </row>
    <row r="58" spans="1:16" s="1" customFormat="1" ht="21" customHeight="1" x14ac:dyDescent="0.25">
      <c r="A58" s="37" t="s">
        <v>3</v>
      </c>
      <c r="B58" s="18"/>
      <c r="C58" s="18">
        <f>COUNTIF(C5:C54,"د")</f>
        <v>3</v>
      </c>
      <c r="D58" s="18">
        <f t="shared" ref="D58:I58" si="9">COUNTIF(D5:D54,"د")</f>
        <v>1</v>
      </c>
      <c r="E58" s="18">
        <f t="shared" si="9"/>
        <v>1</v>
      </c>
      <c r="F58" s="18">
        <f t="shared" si="9"/>
        <v>3</v>
      </c>
      <c r="G58" s="18">
        <f t="shared" si="9"/>
        <v>6</v>
      </c>
      <c r="H58" s="18">
        <f t="shared" si="9"/>
        <v>7</v>
      </c>
      <c r="I58" s="18">
        <f t="shared" si="9"/>
        <v>7</v>
      </c>
      <c r="J58" s="94"/>
      <c r="K58" s="94"/>
      <c r="L58" s="95"/>
      <c r="M58" s="18">
        <f>SUM(M8:M57)</f>
        <v>23</v>
      </c>
      <c r="N58" s="6"/>
      <c r="O58" s="6"/>
    </row>
    <row r="59" spans="1:16" ht="21" customHeight="1" x14ac:dyDescent="0.25">
      <c r="A59" s="49" t="s">
        <v>44</v>
      </c>
      <c r="B59" s="50"/>
      <c r="C59" s="62">
        <f>COUNTIF(C5:C54,"غ")</f>
        <v>4</v>
      </c>
      <c r="D59" s="62">
        <f t="shared" ref="D59:I59" si="10">COUNTIF(D5:D54,"غ")</f>
        <v>4</v>
      </c>
      <c r="E59" s="62">
        <f t="shared" si="10"/>
        <v>4</v>
      </c>
      <c r="F59" s="62">
        <f t="shared" si="10"/>
        <v>4</v>
      </c>
      <c r="G59" s="62">
        <f t="shared" si="10"/>
        <v>4</v>
      </c>
      <c r="H59" s="62">
        <f t="shared" si="10"/>
        <v>4</v>
      </c>
      <c r="I59" s="62">
        <f t="shared" si="10"/>
        <v>4</v>
      </c>
    </row>
  </sheetData>
  <sheetProtection algorithmName="SHA-512" hashValue="emrdUHNxdq5lI12fUPcjqqNmHMQdiX0VSbyt/A6aAM9AVhiJJEIjDn54Dmt3t6OZGbQ2ctoFzvP3rnR+xWAGQw==" saltValue="mAqxF0OFtq3/5mhKVdxWBw==" spinCount="100000" sheet="1" objects="1" scenarios="1"/>
  <mergeCells count="6">
    <mergeCell ref="N3:O3"/>
    <mergeCell ref="B2:M2"/>
    <mergeCell ref="B1:M1"/>
    <mergeCell ref="C3:F3"/>
    <mergeCell ref="G3:I3"/>
    <mergeCell ref="J3:M3"/>
  </mergeCells>
  <phoneticPr fontId="28" type="noConversion"/>
  <conditionalFormatting sqref="A55">
    <cfRule type="containsText" dxfId="155" priority="49" operator="containsText" text="د">
      <formula>NOT(ISERROR(SEARCH("د",A55)))</formula>
    </cfRule>
    <cfRule type="containsText" dxfId="154" priority="50" operator="containsText" text="ج">
      <formula>NOT(ISERROR(SEARCH("ج",A55)))</formula>
    </cfRule>
    <cfRule type="containsText" dxfId="153" priority="51" operator="containsText" text="ب">
      <formula>NOT(ISERROR(SEARCH("ب",A55)))</formula>
    </cfRule>
    <cfRule type="containsText" dxfId="152" priority="52" operator="containsText" text="أ">
      <formula>NOT(ISERROR(SEARCH("أ",A55)))</formula>
    </cfRule>
  </conditionalFormatting>
  <conditionalFormatting sqref="A56">
    <cfRule type="containsText" dxfId="151" priority="45" operator="containsText" text="د">
      <formula>NOT(ISERROR(SEARCH("د",A56)))</formula>
    </cfRule>
    <cfRule type="containsText" dxfId="150" priority="46" operator="containsText" text="ج">
      <formula>NOT(ISERROR(SEARCH("ج",A56)))</formula>
    </cfRule>
    <cfRule type="containsText" dxfId="149" priority="47" operator="containsText" text="ب">
      <formula>NOT(ISERROR(SEARCH("ب",A56)))</formula>
    </cfRule>
    <cfRule type="containsText" dxfId="148" priority="48" operator="containsText" text="أ">
      <formula>NOT(ISERROR(SEARCH("أ",A56)))</formula>
    </cfRule>
  </conditionalFormatting>
  <conditionalFormatting sqref="A57">
    <cfRule type="containsText" dxfId="147" priority="41" operator="containsText" text="د">
      <formula>NOT(ISERROR(SEARCH("د",A57)))</formula>
    </cfRule>
    <cfRule type="containsText" dxfId="146" priority="42" operator="containsText" text="ج">
      <formula>NOT(ISERROR(SEARCH("ج",A57)))</formula>
    </cfRule>
    <cfRule type="containsText" dxfId="145" priority="43" operator="containsText" text="ب">
      <formula>NOT(ISERROR(SEARCH("ب",A57)))</formula>
    </cfRule>
    <cfRule type="containsText" dxfId="144" priority="44" operator="containsText" text="أ">
      <formula>NOT(ISERROR(SEARCH("أ",A57)))</formula>
    </cfRule>
  </conditionalFormatting>
  <conditionalFormatting sqref="A58">
    <cfRule type="containsText" dxfId="143" priority="37" operator="containsText" text="د">
      <formula>NOT(ISERROR(SEARCH("د",A58)))</formula>
    </cfRule>
    <cfRule type="containsText" dxfId="142" priority="38" operator="containsText" text="ج">
      <formula>NOT(ISERROR(SEARCH("ج",A58)))</formula>
    </cfRule>
    <cfRule type="containsText" dxfId="141" priority="39" operator="containsText" text="ب">
      <formula>NOT(ISERROR(SEARCH("ب",A58)))</formula>
    </cfRule>
    <cfRule type="containsText" dxfId="140" priority="40" operator="containsText" text="أ">
      <formula>NOT(ISERROR(SEARCH("أ",A58)))</formula>
    </cfRule>
  </conditionalFormatting>
  <conditionalFormatting sqref="C5:I54">
    <cfRule type="containsText" dxfId="139" priority="29" operator="containsText" text="د">
      <formula>NOT(ISERROR(SEARCH("د",C5)))</formula>
    </cfRule>
    <cfRule type="containsText" dxfId="138" priority="30" operator="containsText" text="ج">
      <formula>NOT(ISERROR(SEARCH("ج",C5)))</formula>
    </cfRule>
    <cfRule type="containsText" dxfId="137" priority="31" operator="containsText" text="ب">
      <formula>NOT(ISERROR(SEARCH("ب",C5)))</formula>
    </cfRule>
    <cfRule type="containsText" dxfId="136" priority="32" operator="containsText" text="أ">
      <formula>NOT(ISERROR(SEARCH("أ",C5)))</formula>
    </cfRule>
  </conditionalFormatting>
  <conditionalFormatting sqref="C5:I54">
    <cfRule type="containsText" dxfId="135" priority="33" operator="containsText" text="د">
      <formula>NOT(ISERROR(SEARCH("د",C5)))</formula>
    </cfRule>
    <cfRule type="containsText" dxfId="134" priority="34" operator="containsText" text="ج">
      <formula>NOT(ISERROR(SEARCH("ج",C5)))</formula>
    </cfRule>
    <cfRule type="containsText" dxfId="133" priority="35" operator="containsText" text="ب">
      <formula>NOT(ISERROR(SEARCH("ب",C5)))</formula>
    </cfRule>
    <cfRule type="containsText" dxfId="132" priority="36" operator="containsText" text="أ">
      <formula>NOT(ISERROR(SEARCH("أ",C5)))</formula>
    </cfRule>
  </conditionalFormatting>
  <conditionalFormatting sqref="J4">
    <cfRule type="containsText" dxfId="131" priority="25" operator="containsText" text="د">
      <formula>NOT(ISERROR(SEARCH("د",J4)))</formula>
    </cfRule>
    <cfRule type="containsText" dxfId="130" priority="26" operator="containsText" text="ج">
      <formula>NOT(ISERROR(SEARCH("ج",J4)))</formula>
    </cfRule>
    <cfRule type="containsText" dxfId="129" priority="27" operator="containsText" text="ب">
      <formula>NOT(ISERROR(SEARCH("ب",J4)))</formula>
    </cfRule>
    <cfRule type="containsText" dxfId="128" priority="28" operator="containsText" text="أ">
      <formula>NOT(ISERROR(SEARCH("أ",J4)))</formula>
    </cfRule>
  </conditionalFormatting>
  <conditionalFormatting sqref="K4">
    <cfRule type="containsText" dxfId="127" priority="21" operator="containsText" text="د">
      <formula>NOT(ISERROR(SEARCH("د",K4)))</formula>
    </cfRule>
    <cfRule type="containsText" dxfId="126" priority="22" operator="containsText" text="ج">
      <formula>NOT(ISERROR(SEARCH("ج",K4)))</formula>
    </cfRule>
    <cfRule type="containsText" dxfId="125" priority="23" operator="containsText" text="ب">
      <formula>NOT(ISERROR(SEARCH("ب",K4)))</formula>
    </cfRule>
    <cfRule type="containsText" dxfId="124" priority="24" operator="containsText" text="أ">
      <formula>NOT(ISERROR(SEARCH("أ",K4)))</formula>
    </cfRule>
  </conditionalFormatting>
  <conditionalFormatting sqref="L4">
    <cfRule type="containsText" dxfId="123" priority="17" operator="containsText" text="د">
      <formula>NOT(ISERROR(SEARCH("د",L4)))</formula>
    </cfRule>
    <cfRule type="containsText" dxfId="122" priority="18" operator="containsText" text="ج">
      <formula>NOT(ISERROR(SEARCH("ج",L4)))</formula>
    </cfRule>
    <cfRule type="containsText" dxfId="121" priority="19" operator="containsText" text="ب">
      <formula>NOT(ISERROR(SEARCH("ب",L4)))</formula>
    </cfRule>
    <cfRule type="containsText" dxfId="120" priority="20" operator="containsText" text="أ">
      <formula>NOT(ISERROR(SEARCH("أ",L4)))</formula>
    </cfRule>
  </conditionalFormatting>
  <conditionalFormatting sqref="M4">
    <cfRule type="containsText" dxfId="119" priority="13" operator="containsText" text="د">
      <formula>NOT(ISERROR(SEARCH("د",M4)))</formula>
    </cfRule>
    <cfRule type="containsText" dxfId="118" priority="14" operator="containsText" text="ج">
      <formula>NOT(ISERROR(SEARCH("ج",M4)))</formula>
    </cfRule>
    <cfRule type="containsText" dxfId="117" priority="15" operator="containsText" text="ب">
      <formula>NOT(ISERROR(SEARCH("ب",M4)))</formula>
    </cfRule>
    <cfRule type="containsText" dxfId="116" priority="16" operator="containsText" text="أ">
      <formula>NOT(ISERROR(SEARCH("أ",M4)))</formula>
    </cfRule>
  </conditionalFormatting>
  <dataValidations count="2">
    <dataValidation operator="equal" allowBlank="1" showInputMessage="1" showErrorMessage="1" sqref="Q4" xr:uid="{9938F46F-9AC2-4DE9-B8A5-AD5C08E99532}"/>
    <dataValidation type="list" allowBlank="1" showInputMessage="1" showErrorMessage="1" sqref="C5:I54" xr:uid="{0CCC98DD-0BA8-4A5C-B80C-22116A9BC892}">
      <formula1>$J$4:$M$4</formula1>
    </dataValidation>
  </dataValidations>
  <printOptions horizontalCentered="1"/>
  <pageMargins left="0" right="0" top="0.19685039370078741" bottom="0" header="0" footer="0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0511-9568-4FD8-B7FD-C35475E5E12B}">
  <dimension ref="A1:R59"/>
  <sheetViews>
    <sheetView showGridLines="0" rightToLeft="1" topLeftCell="A3" workbookViewId="0">
      <pane xSplit="2" ySplit="2" topLeftCell="C5" activePane="bottomRight" state="frozen"/>
      <selection activeCell="A5" sqref="A5:B5"/>
      <selection pane="topRight" activeCell="A5" sqref="A5:B5"/>
      <selection pane="bottomLeft" activeCell="A5" sqref="A5:B5"/>
      <selection pane="bottomRight" activeCell="N5" sqref="N5"/>
    </sheetView>
  </sheetViews>
  <sheetFormatPr baseColWidth="10" defaultColWidth="9.140625" defaultRowHeight="18" customHeight="1" x14ac:dyDescent="0.25"/>
  <cols>
    <col min="1" max="1" width="2.5703125" style="5" customWidth="1"/>
    <col min="2" max="2" width="20.7109375" style="7" customWidth="1"/>
    <col min="3" max="10" width="5.7109375" style="5" customWidth="1"/>
    <col min="11" max="11" width="20.7109375" style="7" customWidth="1"/>
    <col min="12" max="12" width="9.140625" style="8"/>
    <col min="13" max="16384" width="9.140625" style="5"/>
  </cols>
  <sheetData>
    <row r="1" spans="1:18" ht="25.5" customHeight="1" x14ac:dyDescent="0.25">
      <c r="B1" s="108" t="s">
        <v>14</v>
      </c>
      <c r="C1" s="108"/>
      <c r="D1" s="108"/>
      <c r="E1" s="108"/>
      <c r="F1" s="108"/>
      <c r="G1" s="108"/>
      <c r="H1" s="108"/>
      <c r="I1" s="108"/>
      <c r="J1" s="108"/>
    </row>
    <row r="2" spans="1:18" ht="24.75" customHeight="1" x14ac:dyDescent="0.25">
      <c r="B2" s="108" t="s">
        <v>13</v>
      </c>
      <c r="C2" s="108"/>
      <c r="D2" s="108"/>
      <c r="E2" s="108"/>
      <c r="F2" s="108"/>
      <c r="G2" s="108"/>
      <c r="H2" s="108"/>
      <c r="I2" s="108"/>
      <c r="J2" s="108"/>
    </row>
    <row r="3" spans="1:18" s="2" customFormat="1" ht="21.95" customHeight="1" x14ac:dyDescent="0.15">
      <c r="A3" s="116"/>
      <c r="B3" s="116"/>
      <c r="C3" s="107" t="s">
        <v>4</v>
      </c>
      <c r="D3" s="107"/>
      <c r="E3" s="107"/>
      <c r="F3" s="107"/>
      <c r="G3" s="107" t="s">
        <v>12</v>
      </c>
      <c r="H3" s="107"/>
      <c r="I3" s="107"/>
      <c r="J3" s="107"/>
      <c r="K3" s="41" t="s">
        <v>10</v>
      </c>
    </row>
    <row r="4" spans="1:18" s="2" customFormat="1" ht="21.95" customHeight="1" x14ac:dyDescent="0.15">
      <c r="A4" s="115" t="s">
        <v>11</v>
      </c>
      <c r="B4" s="115"/>
      <c r="C4" s="23" t="s">
        <v>6</v>
      </c>
      <c r="D4" s="24" t="s">
        <v>7</v>
      </c>
      <c r="E4" s="24" t="s">
        <v>8</v>
      </c>
      <c r="F4" s="25" t="s">
        <v>9</v>
      </c>
      <c r="G4" s="29" t="s">
        <v>0</v>
      </c>
      <c r="H4" s="29" t="s">
        <v>1</v>
      </c>
      <c r="I4" s="29" t="s">
        <v>2</v>
      </c>
      <c r="J4" s="29" t="s">
        <v>3</v>
      </c>
      <c r="K4" s="21" t="s">
        <v>41</v>
      </c>
      <c r="L4" s="1"/>
      <c r="M4" s="20"/>
    </row>
    <row r="5" spans="1:18" s="105" customFormat="1" ht="14.1" customHeight="1" x14ac:dyDescent="0.3">
      <c r="A5" s="110" t="str">
        <f>'بيانات التلاميذ في المادة '!A5:B5</f>
        <v>ريتاج أمبارك</v>
      </c>
      <c r="B5" s="110"/>
      <c r="C5" s="103" t="str">
        <f>'بيانات التلاميذ في المادة '!C5</f>
        <v>د</v>
      </c>
      <c r="D5" s="103" t="str">
        <f>'بيانات التلاميذ في المادة '!D5</f>
        <v>ج</v>
      </c>
      <c r="E5" s="103" t="str">
        <f>'بيانات التلاميذ في المادة '!E5</f>
        <v>ج</v>
      </c>
      <c r="F5" s="103" t="str">
        <f>'بيانات التلاميذ في المادة '!F5</f>
        <v>د</v>
      </c>
      <c r="G5" s="83">
        <f t="shared" ref="G5:G54" si="0">COUNTIF(C5:F5,"أ")</f>
        <v>0</v>
      </c>
      <c r="H5" s="85">
        <f t="shared" ref="H5:H54" si="1">COUNTIF(C5:F5,"ب")</f>
        <v>0</v>
      </c>
      <c r="I5" s="89">
        <f t="shared" ref="I5:I54" si="2">COUNTIF(C5:F5,"ج")</f>
        <v>2</v>
      </c>
      <c r="J5" s="96">
        <f t="shared" ref="J5:J54" si="3">COUNTIF(C5:F5,"د")</f>
        <v>2</v>
      </c>
      <c r="K5" s="22" t="str">
        <f t="shared" ref="K5:K54" si="4">IF(COUNTIF(C5:F5,"ج")+COUNTIF(C5:F5,"د")&gt;=1,"X"," ")</f>
        <v>X</v>
      </c>
      <c r="L5" s="104"/>
      <c r="M5" s="76" t="s">
        <v>6</v>
      </c>
      <c r="N5" s="105" t="s">
        <v>15</v>
      </c>
    </row>
    <row r="6" spans="1:18" s="105" customFormat="1" ht="14.1" customHeight="1" x14ac:dyDescent="0.3">
      <c r="A6" s="110" t="str">
        <f>'بيانات التلاميذ في المادة '!A6:B6</f>
        <v>محمد الرشيد بربارة</v>
      </c>
      <c r="B6" s="110"/>
      <c r="C6" s="103" t="str">
        <f>'بيانات التلاميذ في المادة '!C6</f>
        <v>ب</v>
      </c>
      <c r="D6" s="103" t="str">
        <f>'بيانات التلاميذ في المادة '!D6</f>
        <v>ج</v>
      </c>
      <c r="E6" s="103" t="str">
        <f>'بيانات التلاميذ في المادة '!E6</f>
        <v>ج</v>
      </c>
      <c r="F6" s="103" t="str">
        <f>'بيانات التلاميذ في المادة '!F6</f>
        <v>ج</v>
      </c>
      <c r="G6" s="83">
        <f t="shared" si="0"/>
        <v>0</v>
      </c>
      <c r="H6" s="85">
        <f t="shared" si="1"/>
        <v>1</v>
      </c>
      <c r="I6" s="89">
        <f t="shared" si="2"/>
        <v>3</v>
      </c>
      <c r="J6" s="96">
        <f t="shared" si="3"/>
        <v>0</v>
      </c>
      <c r="K6" s="22" t="str">
        <f t="shared" si="4"/>
        <v>X</v>
      </c>
      <c r="L6" s="104"/>
      <c r="M6" s="76" t="s">
        <v>7</v>
      </c>
      <c r="N6" s="105" t="s">
        <v>16</v>
      </c>
    </row>
    <row r="7" spans="1:18" s="105" customFormat="1" ht="14.1" customHeight="1" x14ac:dyDescent="0.3">
      <c r="A7" s="110" t="str">
        <f>'بيانات التلاميذ في المادة '!A7:B7</f>
        <v>محمد عماد الدين بلمختار</v>
      </c>
      <c r="B7" s="110"/>
      <c r="C7" s="103" t="str">
        <f>'بيانات التلاميذ في المادة '!C7</f>
        <v>أ</v>
      </c>
      <c r="D7" s="103" t="str">
        <f>'بيانات التلاميذ في المادة '!D7</f>
        <v>أ</v>
      </c>
      <c r="E7" s="103" t="str">
        <f>'بيانات التلاميذ في المادة '!E7</f>
        <v>أ</v>
      </c>
      <c r="F7" s="103" t="str">
        <f>'بيانات التلاميذ في المادة '!F7</f>
        <v>أ</v>
      </c>
      <c r="G7" s="83">
        <f t="shared" si="0"/>
        <v>4</v>
      </c>
      <c r="H7" s="85">
        <f t="shared" si="1"/>
        <v>0</v>
      </c>
      <c r="I7" s="89">
        <f t="shared" si="2"/>
        <v>0</v>
      </c>
      <c r="J7" s="96">
        <f t="shared" si="3"/>
        <v>0</v>
      </c>
      <c r="K7" s="22" t="str">
        <f t="shared" si="4"/>
        <v/>
      </c>
      <c r="L7" s="104"/>
      <c r="M7" s="76" t="s">
        <v>8</v>
      </c>
      <c r="N7" s="105" t="s">
        <v>17</v>
      </c>
    </row>
    <row r="8" spans="1:18" s="105" customFormat="1" ht="14.1" customHeight="1" x14ac:dyDescent="0.3">
      <c r="A8" s="110" t="str">
        <f>'بيانات التلاميذ في المادة '!A8:B8</f>
        <v>بن علي بن زوبير</v>
      </c>
      <c r="B8" s="110"/>
      <c r="C8" s="103" t="str">
        <f>'بيانات التلاميذ في المادة '!C8</f>
        <v>ب</v>
      </c>
      <c r="D8" s="103" t="str">
        <f>'بيانات التلاميذ في المادة '!D8</f>
        <v>أ</v>
      </c>
      <c r="E8" s="103" t="str">
        <f>'بيانات التلاميذ في المادة '!E8</f>
        <v>ب</v>
      </c>
      <c r="F8" s="103" t="str">
        <f>'بيانات التلاميذ في المادة '!F8</f>
        <v>أ</v>
      </c>
      <c r="G8" s="83">
        <f t="shared" si="0"/>
        <v>2</v>
      </c>
      <c r="H8" s="85">
        <f t="shared" si="1"/>
        <v>2</v>
      </c>
      <c r="I8" s="89">
        <f t="shared" si="2"/>
        <v>0</v>
      </c>
      <c r="J8" s="96">
        <f t="shared" si="3"/>
        <v>0</v>
      </c>
      <c r="K8" s="22" t="str">
        <f t="shared" si="4"/>
        <v/>
      </c>
      <c r="L8" s="104"/>
      <c r="M8" s="76" t="s">
        <v>9</v>
      </c>
      <c r="N8" s="105" t="s">
        <v>18</v>
      </c>
    </row>
    <row r="9" spans="1:18" s="105" customFormat="1" ht="14.1" customHeight="1" x14ac:dyDescent="0.3">
      <c r="A9" s="110" t="str">
        <f>'بيانات التلاميذ في المادة '!A9:B9</f>
        <v>محمد إسلام بن زينب</v>
      </c>
      <c r="B9" s="110"/>
      <c r="C9" s="103" t="str">
        <f>'بيانات التلاميذ في المادة '!C9</f>
        <v>ب</v>
      </c>
      <c r="D9" s="103" t="str">
        <f>'بيانات التلاميذ في المادة '!D9</f>
        <v>ب</v>
      </c>
      <c r="E9" s="103" t="str">
        <f>'بيانات التلاميذ في المادة '!E9</f>
        <v>ب</v>
      </c>
      <c r="F9" s="103" t="str">
        <f>'بيانات التلاميذ في المادة '!F9</f>
        <v>ب</v>
      </c>
      <c r="G9" s="83">
        <f t="shared" si="0"/>
        <v>0</v>
      </c>
      <c r="H9" s="85">
        <f t="shared" si="1"/>
        <v>4</v>
      </c>
      <c r="I9" s="89">
        <f t="shared" si="2"/>
        <v>0</v>
      </c>
      <c r="J9" s="96">
        <f t="shared" si="3"/>
        <v>0</v>
      </c>
      <c r="K9" s="22" t="str">
        <f t="shared" si="4"/>
        <v/>
      </c>
      <c r="L9" s="104"/>
      <c r="M9" s="75"/>
      <c r="N9" s="106"/>
      <c r="O9" s="106"/>
      <c r="P9" s="106"/>
      <c r="Q9" s="106"/>
      <c r="R9" s="106"/>
    </row>
    <row r="10" spans="1:18" s="105" customFormat="1" ht="14.1" customHeight="1" x14ac:dyDescent="0.3">
      <c r="A10" s="110" t="str">
        <f>'بيانات التلاميذ في المادة '!A10:B10</f>
        <v>مارية بن طاع الله</v>
      </c>
      <c r="B10" s="110"/>
      <c r="C10" s="103" t="str">
        <f>'بيانات التلاميذ في المادة '!C10</f>
        <v>أ</v>
      </c>
      <c r="D10" s="103" t="str">
        <f>'بيانات التلاميذ في المادة '!D10</f>
        <v>أ</v>
      </c>
      <c r="E10" s="103" t="str">
        <f>'بيانات التلاميذ في المادة '!E10</f>
        <v>أ</v>
      </c>
      <c r="F10" s="103" t="str">
        <f>'بيانات التلاميذ في المادة '!F10</f>
        <v>أ</v>
      </c>
      <c r="G10" s="83">
        <f t="shared" si="0"/>
        <v>4</v>
      </c>
      <c r="H10" s="85">
        <f t="shared" si="1"/>
        <v>0</v>
      </c>
      <c r="I10" s="89">
        <f t="shared" si="2"/>
        <v>0</v>
      </c>
      <c r="J10" s="96">
        <f t="shared" si="3"/>
        <v>0</v>
      </c>
      <c r="K10" s="22" t="str">
        <f t="shared" si="4"/>
        <v/>
      </c>
      <c r="L10" s="104"/>
      <c r="M10" s="75"/>
      <c r="N10" s="106"/>
      <c r="O10" s="106"/>
      <c r="P10" s="106"/>
      <c r="Q10" s="106"/>
      <c r="R10" s="106"/>
    </row>
    <row r="11" spans="1:18" s="105" customFormat="1" ht="14.1" customHeight="1" x14ac:dyDescent="0.3">
      <c r="A11" s="110" t="str">
        <f>'بيانات التلاميذ في المادة '!A11:B11</f>
        <v>محمد بن طيب</v>
      </c>
      <c r="B11" s="110"/>
      <c r="C11" s="103" t="str">
        <f>'بيانات التلاميذ في المادة '!C11</f>
        <v>ج</v>
      </c>
      <c r="D11" s="103" t="str">
        <f>'بيانات التلاميذ في المادة '!D11</f>
        <v>ج</v>
      </c>
      <c r="E11" s="103" t="str">
        <f>'بيانات التلاميذ في المادة '!E11</f>
        <v>ج</v>
      </c>
      <c r="F11" s="103" t="str">
        <f>'بيانات التلاميذ في المادة '!F11</f>
        <v>ج</v>
      </c>
      <c r="G11" s="83">
        <f t="shared" si="0"/>
        <v>0</v>
      </c>
      <c r="H11" s="85">
        <f t="shared" si="1"/>
        <v>0</v>
      </c>
      <c r="I11" s="89">
        <f t="shared" si="2"/>
        <v>4</v>
      </c>
      <c r="J11" s="96">
        <f t="shared" si="3"/>
        <v>0</v>
      </c>
      <c r="K11" s="22" t="str">
        <f t="shared" si="4"/>
        <v>X</v>
      </c>
      <c r="L11" s="104"/>
      <c r="M11" s="75"/>
      <c r="N11" s="106"/>
      <c r="O11" s="106"/>
      <c r="P11" s="106"/>
      <c r="Q11" s="106"/>
      <c r="R11" s="106"/>
    </row>
    <row r="12" spans="1:18" s="105" customFormat="1" ht="14.1" customHeight="1" x14ac:dyDescent="0.3">
      <c r="A12" s="110" t="str">
        <f>'بيانات التلاميذ في المادة '!A12:B12</f>
        <v>نضال سليم بن عابد</v>
      </c>
      <c r="B12" s="110"/>
      <c r="C12" s="103" t="str">
        <f>'بيانات التلاميذ في المادة '!C12</f>
        <v>ج</v>
      </c>
      <c r="D12" s="103" t="str">
        <f>'بيانات التلاميذ في المادة '!D12</f>
        <v>ج</v>
      </c>
      <c r="E12" s="103" t="str">
        <f>'بيانات التلاميذ في المادة '!E12</f>
        <v>ب</v>
      </c>
      <c r="F12" s="103" t="str">
        <f>'بيانات التلاميذ في المادة '!F12</f>
        <v>ب</v>
      </c>
      <c r="G12" s="83">
        <f t="shared" si="0"/>
        <v>0</v>
      </c>
      <c r="H12" s="85">
        <f t="shared" si="1"/>
        <v>2</v>
      </c>
      <c r="I12" s="89">
        <f t="shared" si="2"/>
        <v>2</v>
      </c>
      <c r="J12" s="96">
        <f t="shared" si="3"/>
        <v>0</v>
      </c>
      <c r="K12" s="22" t="str">
        <f t="shared" si="4"/>
        <v>X</v>
      </c>
      <c r="L12" s="104"/>
    </row>
    <row r="13" spans="1:18" s="105" customFormat="1" ht="14.1" customHeight="1" x14ac:dyDescent="0.3">
      <c r="A13" s="110" t="str">
        <f>'بيانات التلاميذ في المادة '!A13:B13</f>
        <v>شهرزاد بوراس</v>
      </c>
      <c r="B13" s="110"/>
      <c r="C13" s="103" t="str">
        <f>'بيانات التلاميذ في المادة '!C13</f>
        <v>ج</v>
      </c>
      <c r="D13" s="103" t="str">
        <f>'بيانات التلاميذ في المادة '!D13</f>
        <v>ج</v>
      </c>
      <c r="E13" s="103" t="str">
        <f>'بيانات التلاميذ في المادة '!E13</f>
        <v>ج</v>
      </c>
      <c r="F13" s="103" t="str">
        <f>'بيانات التلاميذ في المادة '!F13</f>
        <v>ج</v>
      </c>
      <c r="G13" s="83">
        <f t="shared" si="0"/>
        <v>0</v>
      </c>
      <c r="H13" s="85">
        <f t="shared" si="1"/>
        <v>0</v>
      </c>
      <c r="I13" s="89">
        <f t="shared" si="2"/>
        <v>4</v>
      </c>
      <c r="J13" s="96">
        <f t="shared" si="3"/>
        <v>0</v>
      </c>
      <c r="K13" s="22" t="str">
        <f t="shared" si="4"/>
        <v>X</v>
      </c>
      <c r="L13" s="104"/>
    </row>
    <row r="14" spans="1:18" s="105" customFormat="1" ht="14.1" customHeight="1" x14ac:dyDescent="0.3">
      <c r="A14" s="110" t="str">
        <f>'بيانات التلاميذ في المادة '!A14:B14</f>
        <v>فراح بوزيتونة</v>
      </c>
      <c r="B14" s="110"/>
      <c r="C14" s="103" t="str">
        <f>'بيانات التلاميذ في المادة '!C14</f>
        <v>د</v>
      </c>
      <c r="D14" s="103" t="str">
        <f>'بيانات التلاميذ في المادة '!D14</f>
        <v>ج</v>
      </c>
      <c r="E14" s="103" t="str">
        <f>'بيانات التلاميذ في المادة '!E14</f>
        <v>ج</v>
      </c>
      <c r="F14" s="103" t="str">
        <f>'بيانات التلاميذ في المادة '!F14</f>
        <v>د</v>
      </c>
      <c r="G14" s="83">
        <f t="shared" si="0"/>
        <v>0</v>
      </c>
      <c r="H14" s="85">
        <f t="shared" si="1"/>
        <v>0</v>
      </c>
      <c r="I14" s="89">
        <f t="shared" si="2"/>
        <v>2</v>
      </c>
      <c r="J14" s="96">
        <f t="shared" si="3"/>
        <v>2</v>
      </c>
      <c r="K14" s="22" t="str">
        <f t="shared" si="4"/>
        <v>X</v>
      </c>
      <c r="L14" s="104"/>
    </row>
    <row r="15" spans="1:18" s="105" customFormat="1" ht="14.1" customHeight="1" x14ac:dyDescent="0.3">
      <c r="A15" s="110" t="str">
        <f>'بيانات التلاميذ في المادة '!A15:B15</f>
        <v>ياسر عبد المالك بوعلام</v>
      </c>
      <c r="B15" s="110"/>
      <c r="C15" s="103" t="str">
        <f>'بيانات التلاميذ في المادة '!C15</f>
        <v>ج</v>
      </c>
      <c r="D15" s="103" t="str">
        <f>'بيانات التلاميذ في المادة '!D15</f>
        <v>ب</v>
      </c>
      <c r="E15" s="103" t="str">
        <f>'بيانات التلاميذ في المادة '!E15</f>
        <v>ب</v>
      </c>
      <c r="F15" s="103" t="str">
        <f>'بيانات التلاميذ في المادة '!F15</f>
        <v>ج</v>
      </c>
      <c r="G15" s="83">
        <f t="shared" si="0"/>
        <v>0</v>
      </c>
      <c r="H15" s="85">
        <f t="shared" si="1"/>
        <v>2</v>
      </c>
      <c r="I15" s="89">
        <f t="shared" si="2"/>
        <v>2</v>
      </c>
      <c r="J15" s="96">
        <f t="shared" si="3"/>
        <v>0</v>
      </c>
      <c r="K15" s="22" t="str">
        <f t="shared" si="4"/>
        <v>X</v>
      </c>
      <c r="L15" s="104"/>
    </row>
    <row r="16" spans="1:18" s="105" customFormat="1" ht="14.1" customHeight="1" x14ac:dyDescent="0.3">
      <c r="A16" s="110" t="str">
        <f>'بيانات التلاميذ في المادة '!A16:B16</f>
        <v>ابراهيم الخليل بومالة</v>
      </c>
      <c r="B16" s="110"/>
      <c r="C16" s="103" t="str">
        <f>'بيانات التلاميذ في المادة '!C16</f>
        <v>أ</v>
      </c>
      <c r="D16" s="103" t="str">
        <f>'بيانات التلاميذ في المادة '!D16</f>
        <v>أ</v>
      </c>
      <c r="E16" s="103" t="str">
        <f>'بيانات التلاميذ في المادة '!E16</f>
        <v>أ</v>
      </c>
      <c r="F16" s="103" t="str">
        <f>'بيانات التلاميذ في المادة '!F16</f>
        <v>أ</v>
      </c>
      <c r="G16" s="83">
        <f t="shared" si="0"/>
        <v>4</v>
      </c>
      <c r="H16" s="85">
        <f t="shared" si="1"/>
        <v>0</v>
      </c>
      <c r="I16" s="89">
        <f t="shared" si="2"/>
        <v>0</v>
      </c>
      <c r="J16" s="96">
        <f t="shared" si="3"/>
        <v>0</v>
      </c>
      <c r="K16" s="22" t="str">
        <f t="shared" si="4"/>
        <v/>
      </c>
      <c r="L16" s="104"/>
    </row>
    <row r="17" spans="1:12" s="105" customFormat="1" ht="14.1" customHeight="1" x14ac:dyDescent="0.3">
      <c r="A17" s="110" t="str">
        <f>'بيانات التلاميذ في المادة '!A17:B17</f>
        <v>عبد القادر بونوح</v>
      </c>
      <c r="B17" s="110"/>
      <c r="C17" s="103" t="str">
        <f>'بيانات التلاميذ في المادة '!C17</f>
        <v>ج</v>
      </c>
      <c r="D17" s="103" t="str">
        <f>'بيانات التلاميذ في المادة '!D17</f>
        <v>ج</v>
      </c>
      <c r="E17" s="103" t="str">
        <f>'بيانات التلاميذ في المادة '!E17</f>
        <v>ج</v>
      </c>
      <c r="F17" s="103" t="str">
        <f>'بيانات التلاميذ في المادة '!F17</f>
        <v>ج</v>
      </c>
      <c r="G17" s="83">
        <f t="shared" si="0"/>
        <v>0</v>
      </c>
      <c r="H17" s="85">
        <f t="shared" si="1"/>
        <v>0</v>
      </c>
      <c r="I17" s="89">
        <f t="shared" si="2"/>
        <v>4</v>
      </c>
      <c r="J17" s="96">
        <f t="shared" si="3"/>
        <v>0</v>
      </c>
      <c r="K17" s="22" t="str">
        <f t="shared" si="4"/>
        <v>X</v>
      </c>
      <c r="L17" s="104"/>
    </row>
    <row r="18" spans="1:12" s="105" customFormat="1" ht="14.1" customHeight="1" x14ac:dyDescent="0.3">
      <c r="A18" s="110" t="str">
        <f>'بيانات التلاميذ في المادة '!A18:B18</f>
        <v>أنفال تجيني</v>
      </c>
      <c r="B18" s="110"/>
      <c r="C18" s="103" t="str">
        <f>'بيانات التلاميذ في المادة '!C18</f>
        <v>أ</v>
      </c>
      <c r="D18" s="103" t="str">
        <f>'بيانات التلاميذ في المادة '!D18</f>
        <v>أ</v>
      </c>
      <c r="E18" s="103" t="str">
        <f>'بيانات التلاميذ في المادة '!E18</f>
        <v>أ</v>
      </c>
      <c r="F18" s="103" t="str">
        <f>'بيانات التلاميذ في المادة '!F18</f>
        <v>أ</v>
      </c>
      <c r="G18" s="83">
        <f t="shared" si="0"/>
        <v>4</v>
      </c>
      <c r="H18" s="85">
        <f t="shared" si="1"/>
        <v>0</v>
      </c>
      <c r="I18" s="89">
        <f t="shared" si="2"/>
        <v>0</v>
      </c>
      <c r="J18" s="96">
        <f t="shared" si="3"/>
        <v>0</v>
      </c>
      <c r="K18" s="22" t="str">
        <f t="shared" si="4"/>
        <v/>
      </c>
      <c r="L18" s="104"/>
    </row>
    <row r="19" spans="1:12" s="105" customFormat="1" ht="14.1" customHeight="1" x14ac:dyDescent="0.3">
      <c r="A19" s="110" t="str">
        <f>'بيانات التلاميذ في المادة '!A19:B19</f>
        <v>محمد عبد الرحمان تواتي</v>
      </c>
      <c r="B19" s="110"/>
      <c r="C19" s="103" t="str">
        <f>'بيانات التلاميذ في المادة '!C19</f>
        <v>غ</v>
      </c>
      <c r="D19" s="103" t="str">
        <f>'بيانات التلاميذ في المادة '!D19</f>
        <v>غ</v>
      </c>
      <c r="E19" s="103" t="str">
        <f>'بيانات التلاميذ في المادة '!E19</f>
        <v>غ</v>
      </c>
      <c r="F19" s="103" t="str">
        <f>'بيانات التلاميذ في المادة '!F19</f>
        <v>غ</v>
      </c>
      <c r="G19" s="83">
        <f t="shared" si="0"/>
        <v>0</v>
      </c>
      <c r="H19" s="85">
        <f t="shared" si="1"/>
        <v>0</v>
      </c>
      <c r="I19" s="89">
        <f t="shared" si="2"/>
        <v>0</v>
      </c>
      <c r="J19" s="96">
        <f t="shared" si="3"/>
        <v>0</v>
      </c>
      <c r="K19" s="22" t="str">
        <f t="shared" si="4"/>
        <v/>
      </c>
      <c r="L19" s="104"/>
    </row>
    <row r="20" spans="1:12" s="105" customFormat="1" ht="14.1" customHeight="1" x14ac:dyDescent="0.3">
      <c r="A20" s="110" t="str">
        <f>'بيانات التلاميذ في المادة '!A20:B20</f>
        <v>أسماء جوماد</v>
      </c>
      <c r="B20" s="110"/>
      <c r="C20" s="103" t="str">
        <f>'بيانات التلاميذ في المادة '!C20</f>
        <v>أ</v>
      </c>
      <c r="D20" s="103" t="str">
        <f>'بيانات التلاميذ في المادة '!D20</f>
        <v>أ</v>
      </c>
      <c r="E20" s="103" t="str">
        <f>'بيانات التلاميذ في المادة '!E20</f>
        <v>أ</v>
      </c>
      <c r="F20" s="103" t="str">
        <f>'بيانات التلاميذ في المادة '!F20</f>
        <v>أ</v>
      </c>
      <c r="G20" s="83">
        <f t="shared" si="0"/>
        <v>4</v>
      </c>
      <c r="H20" s="85">
        <f t="shared" si="1"/>
        <v>0</v>
      </c>
      <c r="I20" s="89">
        <f t="shared" si="2"/>
        <v>0</v>
      </c>
      <c r="J20" s="96">
        <f t="shared" si="3"/>
        <v>0</v>
      </c>
      <c r="K20" s="22" t="str">
        <f t="shared" si="4"/>
        <v/>
      </c>
      <c r="L20" s="104"/>
    </row>
    <row r="21" spans="1:12" s="105" customFormat="1" ht="14.1" customHeight="1" x14ac:dyDescent="0.3">
      <c r="A21" s="110" t="str">
        <f>'بيانات التلاميذ في المادة '!A21:B21</f>
        <v>يونس لطفي حراث</v>
      </c>
      <c r="B21" s="110"/>
      <c r="C21" s="103" t="str">
        <f>'بيانات التلاميذ في المادة '!C21</f>
        <v>أ</v>
      </c>
      <c r="D21" s="103" t="str">
        <f>'بيانات التلاميذ في المادة '!D21</f>
        <v>ب</v>
      </c>
      <c r="E21" s="103" t="str">
        <f>'بيانات التلاميذ في المادة '!E21</f>
        <v>أ</v>
      </c>
      <c r="F21" s="103" t="str">
        <f>'بيانات التلاميذ في المادة '!F21</f>
        <v>أ</v>
      </c>
      <c r="G21" s="83">
        <f t="shared" si="0"/>
        <v>3</v>
      </c>
      <c r="H21" s="85">
        <f t="shared" si="1"/>
        <v>1</v>
      </c>
      <c r="I21" s="89">
        <f t="shared" si="2"/>
        <v>0</v>
      </c>
      <c r="J21" s="96">
        <f t="shared" si="3"/>
        <v>0</v>
      </c>
      <c r="K21" s="22" t="str">
        <f t="shared" si="4"/>
        <v/>
      </c>
      <c r="L21" s="104"/>
    </row>
    <row r="22" spans="1:12" s="105" customFormat="1" ht="14.1" customHeight="1" x14ac:dyDescent="0.3">
      <c r="A22" s="110" t="str">
        <f>'بيانات التلاميذ في المادة '!A22:B22</f>
        <v>فريال قطر الندى دهوي</v>
      </c>
      <c r="B22" s="110"/>
      <c r="C22" s="103" t="str">
        <f>'بيانات التلاميذ في المادة '!C22</f>
        <v>ب</v>
      </c>
      <c r="D22" s="103" t="str">
        <f>'بيانات التلاميذ في المادة '!D22</f>
        <v>ب</v>
      </c>
      <c r="E22" s="103" t="str">
        <f>'بيانات التلاميذ في المادة '!E22</f>
        <v>ب</v>
      </c>
      <c r="F22" s="103" t="str">
        <f>'بيانات التلاميذ في المادة '!F22</f>
        <v>ب</v>
      </c>
      <c r="G22" s="83">
        <f t="shared" si="0"/>
        <v>0</v>
      </c>
      <c r="H22" s="85">
        <f t="shared" si="1"/>
        <v>4</v>
      </c>
      <c r="I22" s="89">
        <f t="shared" si="2"/>
        <v>0</v>
      </c>
      <c r="J22" s="96">
        <f t="shared" si="3"/>
        <v>0</v>
      </c>
      <c r="K22" s="22" t="str">
        <f t="shared" si="4"/>
        <v/>
      </c>
      <c r="L22" s="104"/>
    </row>
    <row r="23" spans="1:12" s="105" customFormat="1" ht="14.1" customHeight="1" x14ac:dyDescent="0.3">
      <c r="A23" s="110" t="str">
        <f>'بيانات التلاميذ في المادة '!A23:B23</f>
        <v>مايا سبيحي</v>
      </c>
      <c r="B23" s="110"/>
      <c r="C23" s="103" t="str">
        <f>'بيانات التلاميذ في المادة '!C23</f>
        <v>أ</v>
      </c>
      <c r="D23" s="103" t="str">
        <f>'بيانات التلاميذ في المادة '!D23</f>
        <v>أ</v>
      </c>
      <c r="E23" s="103" t="str">
        <f>'بيانات التلاميذ في المادة '!E23</f>
        <v>أ</v>
      </c>
      <c r="F23" s="103" t="str">
        <f>'بيانات التلاميذ في المادة '!F23</f>
        <v>أ</v>
      </c>
      <c r="G23" s="83">
        <f t="shared" si="0"/>
        <v>4</v>
      </c>
      <c r="H23" s="85">
        <f t="shared" si="1"/>
        <v>0</v>
      </c>
      <c r="I23" s="89">
        <f t="shared" si="2"/>
        <v>0</v>
      </c>
      <c r="J23" s="96">
        <f t="shared" si="3"/>
        <v>0</v>
      </c>
      <c r="K23" s="22" t="str">
        <f t="shared" si="4"/>
        <v/>
      </c>
      <c r="L23" s="104"/>
    </row>
    <row r="24" spans="1:12" s="105" customFormat="1" ht="14.1" customHeight="1" x14ac:dyDescent="0.3">
      <c r="A24" s="110" t="str">
        <f>'بيانات التلاميذ في المادة '!A24:B24</f>
        <v>مصطفى محمد سماحي</v>
      </c>
      <c r="B24" s="110"/>
      <c r="C24" s="103" t="str">
        <f>'بيانات التلاميذ في المادة '!C24</f>
        <v>ج</v>
      </c>
      <c r="D24" s="103" t="str">
        <f>'بيانات التلاميذ في المادة '!D24</f>
        <v>ج</v>
      </c>
      <c r="E24" s="103" t="str">
        <f>'بيانات التلاميذ في المادة '!E24</f>
        <v>ب</v>
      </c>
      <c r="F24" s="103" t="str">
        <f>'بيانات التلاميذ في المادة '!F24</f>
        <v>ب</v>
      </c>
      <c r="G24" s="83">
        <f t="shared" si="0"/>
        <v>0</v>
      </c>
      <c r="H24" s="85">
        <f t="shared" si="1"/>
        <v>2</v>
      </c>
      <c r="I24" s="89">
        <f t="shared" si="2"/>
        <v>2</v>
      </c>
      <c r="J24" s="96">
        <f t="shared" si="3"/>
        <v>0</v>
      </c>
      <c r="K24" s="22" t="str">
        <f t="shared" si="4"/>
        <v>X</v>
      </c>
      <c r="L24" s="104"/>
    </row>
    <row r="25" spans="1:12" s="105" customFormat="1" ht="14.1" customHeight="1" x14ac:dyDescent="0.3">
      <c r="A25" s="110" t="str">
        <f>'بيانات التلاميذ في المادة '!A25:B25</f>
        <v>محمد شريتي</v>
      </c>
      <c r="B25" s="110"/>
      <c r="C25" s="103" t="str">
        <f>'بيانات التلاميذ في المادة '!C25</f>
        <v>أ</v>
      </c>
      <c r="D25" s="103" t="str">
        <f>'بيانات التلاميذ في المادة '!D25</f>
        <v>ب</v>
      </c>
      <c r="E25" s="103" t="str">
        <f>'بيانات التلاميذ في المادة '!E25</f>
        <v>ب</v>
      </c>
      <c r="F25" s="103" t="str">
        <f>'بيانات التلاميذ في المادة '!F25</f>
        <v>ب</v>
      </c>
      <c r="G25" s="83">
        <f t="shared" si="0"/>
        <v>1</v>
      </c>
      <c r="H25" s="85">
        <f t="shared" si="1"/>
        <v>3</v>
      </c>
      <c r="I25" s="89">
        <f t="shared" si="2"/>
        <v>0</v>
      </c>
      <c r="J25" s="96">
        <f t="shared" si="3"/>
        <v>0</v>
      </c>
      <c r="K25" s="22" t="str">
        <f t="shared" si="4"/>
        <v/>
      </c>
      <c r="L25" s="104"/>
    </row>
    <row r="26" spans="1:12" s="105" customFormat="1" ht="14.1" customHeight="1" x14ac:dyDescent="0.3">
      <c r="A26" s="110" t="str">
        <f>'بيانات التلاميذ في المادة '!A26:B26</f>
        <v>زهير شقرون</v>
      </c>
      <c r="B26" s="110"/>
      <c r="C26" s="103" t="str">
        <f>'بيانات التلاميذ في المادة '!C26</f>
        <v>د</v>
      </c>
      <c r="D26" s="103" t="str">
        <f>'بيانات التلاميذ في المادة '!D26</f>
        <v>د</v>
      </c>
      <c r="E26" s="103" t="str">
        <f>'بيانات التلاميذ في المادة '!E26</f>
        <v>د</v>
      </c>
      <c r="F26" s="103" t="str">
        <f>'بيانات التلاميذ في المادة '!F26</f>
        <v>د</v>
      </c>
      <c r="G26" s="83">
        <f t="shared" si="0"/>
        <v>0</v>
      </c>
      <c r="H26" s="85">
        <f t="shared" si="1"/>
        <v>0</v>
      </c>
      <c r="I26" s="89">
        <f t="shared" si="2"/>
        <v>0</v>
      </c>
      <c r="J26" s="96">
        <f t="shared" si="3"/>
        <v>4</v>
      </c>
      <c r="K26" s="22" t="str">
        <f t="shared" si="4"/>
        <v>X</v>
      </c>
      <c r="L26" s="104"/>
    </row>
    <row r="27" spans="1:12" s="105" customFormat="1" ht="14.1" customHeight="1" x14ac:dyDescent="0.3">
      <c r="A27" s="110" t="str">
        <f>'بيانات التلاميذ في المادة '!A27:B27</f>
        <v>فايزة شلابي</v>
      </c>
      <c r="B27" s="110"/>
      <c r="C27" s="103" t="str">
        <f>'بيانات التلاميذ في المادة '!C27</f>
        <v>ب</v>
      </c>
      <c r="D27" s="103" t="str">
        <f>'بيانات التلاميذ في المادة '!D27</f>
        <v>ج</v>
      </c>
      <c r="E27" s="103" t="str">
        <f>'بيانات التلاميذ في المادة '!E27</f>
        <v>ب</v>
      </c>
      <c r="F27" s="103" t="str">
        <f>'بيانات التلاميذ في المادة '!F27</f>
        <v>ج</v>
      </c>
      <c r="G27" s="83">
        <f t="shared" si="0"/>
        <v>0</v>
      </c>
      <c r="H27" s="85">
        <f t="shared" si="1"/>
        <v>2</v>
      </c>
      <c r="I27" s="89">
        <f t="shared" si="2"/>
        <v>2</v>
      </c>
      <c r="J27" s="96">
        <f t="shared" si="3"/>
        <v>0</v>
      </c>
      <c r="K27" s="22" t="str">
        <f t="shared" si="4"/>
        <v>X</v>
      </c>
      <c r="L27" s="104"/>
    </row>
    <row r="28" spans="1:12" s="105" customFormat="1" ht="14.1" customHeight="1" x14ac:dyDescent="0.3">
      <c r="A28" s="110" t="str">
        <f>'بيانات التلاميذ في المادة '!A28:B28</f>
        <v>قمر زوبيدة عبد اللالة</v>
      </c>
      <c r="B28" s="110"/>
      <c r="C28" s="103" t="str">
        <f>'بيانات التلاميذ في المادة '!C28</f>
        <v>أ</v>
      </c>
      <c r="D28" s="103" t="str">
        <f>'بيانات التلاميذ في المادة '!D28</f>
        <v>أ</v>
      </c>
      <c r="E28" s="103" t="str">
        <f>'بيانات التلاميذ في المادة '!E28</f>
        <v>أ</v>
      </c>
      <c r="F28" s="103" t="str">
        <f>'بيانات التلاميذ في المادة '!F28</f>
        <v>أ</v>
      </c>
      <c r="G28" s="83">
        <f t="shared" si="0"/>
        <v>4</v>
      </c>
      <c r="H28" s="85">
        <f t="shared" si="1"/>
        <v>0</v>
      </c>
      <c r="I28" s="89">
        <f t="shared" si="2"/>
        <v>0</v>
      </c>
      <c r="J28" s="96">
        <f t="shared" si="3"/>
        <v>0</v>
      </c>
      <c r="K28" s="22" t="str">
        <f t="shared" si="4"/>
        <v/>
      </c>
      <c r="L28" s="104"/>
    </row>
    <row r="29" spans="1:12" s="105" customFormat="1" ht="14.1" customHeight="1" x14ac:dyDescent="0.3">
      <c r="A29" s="110" t="str">
        <f>'بيانات التلاميذ في المادة '!A29:B29</f>
        <v>دعاء خيرة فارس</v>
      </c>
      <c r="B29" s="110"/>
      <c r="C29" s="103" t="str">
        <f>'بيانات التلاميذ في المادة '!C29</f>
        <v>ب</v>
      </c>
      <c r="D29" s="103" t="str">
        <f>'بيانات التلاميذ في المادة '!D29</f>
        <v>ب</v>
      </c>
      <c r="E29" s="103" t="str">
        <f>'بيانات التلاميذ في المادة '!E29</f>
        <v>ب</v>
      </c>
      <c r="F29" s="103" t="str">
        <f>'بيانات التلاميذ في المادة '!F29</f>
        <v>ب</v>
      </c>
      <c r="G29" s="83">
        <f t="shared" si="0"/>
        <v>0</v>
      </c>
      <c r="H29" s="85">
        <f t="shared" si="1"/>
        <v>4</v>
      </c>
      <c r="I29" s="89">
        <f t="shared" si="2"/>
        <v>0</v>
      </c>
      <c r="J29" s="96">
        <f t="shared" si="3"/>
        <v>0</v>
      </c>
      <c r="K29" s="22" t="str">
        <f t="shared" si="4"/>
        <v/>
      </c>
      <c r="L29" s="104"/>
    </row>
    <row r="30" spans="1:12" s="105" customFormat="1" ht="14.1" customHeight="1" x14ac:dyDescent="0.3">
      <c r="A30" s="110" t="str">
        <f>'بيانات التلاميذ في المادة '!A30:B30</f>
        <v>حجلة مروة فلوحي</v>
      </c>
      <c r="B30" s="110"/>
      <c r="C30" s="103" t="str">
        <f>'بيانات التلاميذ في المادة '!C30</f>
        <v>غ</v>
      </c>
      <c r="D30" s="103" t="str">
        <f>'بيانات التلاميذ في المادة '!D30</f>
        <v>غ</v>
      </c>
      <c r="E30" s="103" t="str">
        <f>'بيانات التلاميذ في المادة '!E30</f>
        <v>غ</v>
      </c>
      <c r="F30" s="103" t="str">
        <f>'بيانات التلاميذ في المادة '!F30</f>
        <v>غ</v>
      </c>
      <c r="G30" s="83">
        <f t="shared" si="0"/>
        <v>0</v>
      </c>
      <c r="H30" s="85">
        <f t="shared" si="1"/>
        <v>0</v>
      </c>
      <c r="I30" s="89">
        <f t="shared" si="2"/>
        <v>0</v>
      </c>
      <c r="J30" s="96">
        <f t="shared" si="3"/>
        <v>0</v>
      </c>
      <c r="K30" s="22" t="str">
        <f t="shared" si="4"/>
        <v/>
      </c>
      <c r="L30" s="104"/>
    </row>
    <row r="31" spans="1:12" s="105" customFormat="1" ht="14.1" customHeight="1" x14ac:dyDescent="0.3">
      <c r="A31" s="110" t="str">
        <f>'بيانات التلاميذ في المادة '!A31:B31</f>
        <v>مريم قبلي</v>
      </c>
      <c r="B31" s="110"/>
      <c r="C31" s="103" t="str">
        <f>'بيانات التلاميذ في المادة '!C31</f>
        <v>أ</v>
      </c>
      <c r="D31" s="103" t="str">
        <f>'بيانات التلاميذ في المادة '!D31</f>
        <v>أ</v>
      </c>
      <c r="E31" s="103" t="str">
        <f>'بيانات التلاميذ في المادة '!E31</f>
        <v>ب</v>
      </c>
      <c r="F31" s="103" t="str">
        <f>'بيانات التلاميذ في المادة '!F31</f>
        <v>أ</v>
      </c>
      <c r="G31" s="83">
        <f t="shared" si="0"/>
        <v>3</v>
      </c>
      <c r="H31" s="85">
        <f t="shared" si="1"/>
        <v>1</v>
      </c>
      <c r="I31" s="89">
        <f t="shared" si="2"/>
        <v>0</v>
      </c>
      <c r="J31" s="96">
        <f t="shared" si="3"/>
        <v>0</v>
      </c>
      <c r="K31" s="22" t="str">
        <f t="shared" si="4"/>
        <v/>
      </c>
      <c r="L31" s="104"/>
    </row>
    <row r="32" spans="1:12" s="105" customFormat="1" ht="14.1" customHeight="1" x14ac:dyDescent="0.3">
      <c r="A32" s="110" t="str">
        <f>'بيانات التلاميذ في المادة '!A32:B32</f>
        <v>بشرى لحرش</v>
      </c>
      <c r="B32" s="110"/>
      <c r="C32" s="103" t="str">
        <f>'بيانات التلاميذ في المادة '!C32</f>
        <v>ب</v>
      </c>
      <c r="D32" s="103" t="str">
        <f>'بيانات التلاميذ في المادة '!D32</f>
        <v>أ</v>
      </c>
      <c r="E32" s="103" t="str">
        <f>'بيانات التلاميذ في المادة '!E32</f>
        <v>أ</v>
      </c>
      <c r="F32" s="103" t="str">
        <f>'بيانات التلاميذ في المادة '!F32</f>
        <v>أ</v>
      </c>
      <c r="G32" s="83">
        <f t="shared" si="0"/>
        <v>3</v>
      </c>
      <c r="H32" s="85">
        <f t="shared" si="1"/>
        <v>1</v>
      </c>
      <c r="I32" s="89">
        <f t="shared" si="2"/>
        <v>0</v>
      </c>
      <c r="J32" s="96">
        <f t="shared" si="3"/>
        <v>0</v>
      </c>
      <c r="K32" s="22" t="str">
        <f t="shared" si="4"/>
        <v/>
      </c>
      <c r="L32" s="104"/>
    </row>
    <row r="33" spans="1:12" s="105" customFormat="1" ht="14.1" customHeight="1" x14ac:dyDescent="0.3">
      <c r="A33" s="110" t="str">
        <f>'بيانات التلاميذ في المادة '!A33:B33</f>
        <v>انس لحمر عبو</v>
      </c>
      <c r="B33" s="110"/>
      <c r="C33" s="103" t="str">
        <f>'بيانات التلاميذ في المادة '!C33</f>
        <v>ج</v>
      </c>
      <c r="D33" s="103" t="str">
        <f>'بيانات التلاميذ في المادة '!D33</f>
        <v>ج</v>
      </c>
      <c r="E33" s="103" t="str">
        <f>'بيانات التلاميذ في المادة '!E33</f>
        <v>ج</v>
      </c>
      <c r="F33" s="103" t="str">
        <f>'بيانات التلاميذ في المادة '!F33</f>
        <v>ج</v>
      </c>
      <c r="G33" s="83">
        <f t="shared" si="0"/>
        <v>0</v>
      </c>
      <c r="H33" s="85">
        <f t="shared" si="1"/>
        <v>0</v>
      </c>
      <c r="I33" s="89">
        <f t="shared" si="2"/>
        <v>4</v>
      </c>
      <c r="J33" s="96">
        <f t="shared" si="3"/>
        <v>0</v>
      </c>
      <c r="K33" s="22" t="str">
        <f t="shared" si="4"/>
        <v>X</v>
      </c>
      <c r="L33" s="104"/>
    </row>
    <row r="34" spans="1:12" s="105" customFormat="1" ht="14.1" customHeight="1" x14ac:dyDescent="0.3">
      <c r="A34" s="110" t="str">
        <f>'بيانات التلاميذ في المادة '!A34:B34</f>
        <v>مريم لوني</v>
      </c>
      <c r="B34" s="110"/>
      <c r="C34" s="103" t="str">
        <f>'بيانات التلاميذ في المادة '!C34</f>
        <v>أ</v>
      </c>
      <c r="D34" s="103" t="str">
        <f>'بيانات التلاميذ في المادة '!D34</f>
        <v>أ</v>
      </c>
      <c r="E34" s="103" t="str">
        <f>'بيانات التلاميذ في المادة '!E34</f>
        <v>أ</v>
      </c>
      <c r="F34" s="103" t="str">
        <f>'بيانات التلاميذ في المادة '!F34</f>
        <v>أ</v>
      </c>
      <c r="G34" s="83">
        <f t="shared" si="0"/>
        <v>4</v>
      </c>
      <c r="H34" s="85">
        <f t="shared" si="1"/>
        <v>0</v>
      </c>
      <c r="I34" s="89">
        <f t="shared" si="2"/>
        <v>0</v>
      </c>
      <c r="J34" s="96">
        <f t="shared" si="3"/>
        <v>0</v>
      </c>
      <c r="K34" s="22" t="str">
        <f t="shared" si="4"/>
        <v/>
      </c>
      <c r="L34" s="104"/>
    </row>
    <row r="35" spans="1:12" s="105" customFormat="1" ht="14.1" customHeight="1" x14ac:dyDescent="0.3">
      <c r="A35" s="110" t="str">
        <f>'بيانات التلاميذ في المادة '!A35:B35</f>
        <v>وليد مالك</v>
      </c>
      <c r="B35" s="110"/>
      <c r="C35" s="103" t="str">
        <f>'بيانات التلاميذ في المادة '!C35</f>
        <v>أ</v>
      </c>
      <c r="D35" s="103" t="str">
        <f>'بيانات التلاميذ في المادة '!D35</f>
        <v>أ</v>
      </c>
      <c r="E35" s="103" t="str">
        <f>'بيانات التلاميذ في المادة '!E35</f>
        <v>أ</v>
      </c>
      <c r="F35" s="103" t="str">
        <f>'بيانات التلاميذ في المادة '!F35</f>
        <v>أ</v>
      </c>
      <c r="G35" s="83">
        <f t="shared" si="0"/>
        <v>4</v>
      </c>
      <c r="H35" s="85">
        <f t="shared" si="1"/>
        <v>0</v>
      </c>
      <c r="I35" s="89">
        <f t="shared" si="2"/>
        <v>0</v>
      </c>
      <c r="J35" s="96">
        <f t="shared" si="3"/>
        <v>0</v>
      </c>
      <c r="K35" s="22" t="str">
        <f t="shared" si="4"/>
        <v/>
      </c>
      <c r="L35" s="104"/>
    </row>
    <row r="36" spans="1:12" s="105" customFormat="1" ht="14.1" customHeight="1" x14ac:dyDescent="0.3">
      <c r="A36" s="110" t="str">
        <f>'بيانات التلاميذ في المادة '!A36:B36</f>
        <v>ايمن منور مبخوت</v>
      </c>
      <c r="B36" s="110"/>
      <c r="C36" s="103" t="str">
        <f>'بيانات التلاميذ في المادة '!C36</f>
        <v>ب</v>
      </c>
      <c r="D36" s="103" t="str">
        <f>'بيانات التلاميذ في المادة '!D36</f>
        <v>ب</v>
      </c>
      <c r="E36" s="103" t="str">
        <f>'بيانات التلاميذ في المادة '!E36</f>
        <v>ب</v>
      </c>
      <c r="F36" s="103" t="str">
        <f>'بيانات التلاميذ في المادة '!F36</f>
        <v>ب</v>
      </c>
      <c r="G36" s="83">
        <f t="shared" si="0"/>
        <v>0</v>
      </c>
      <c r="H36" s="85">
        <f t="shared" si="1"/>
        <v>4</v>
      </c>
      <c r="I36" s="89">
        <f t="shared" si="2"/>
        <v>0</v>
      </c>
      <c r="J36" s="96">
        <f t="shared" si="3"/>
        <v>0</v>
      </c>
      <c r="K36" s="22" t="str">
        <f t="shared" si="4"/>
        <v/>
      </c>
      <c r="L36" s="104"/>
    </row>
    <row r="37" spans="1:12" s="105" customFormat="1" ht="14.1" customHeight="1" x14ac:dyDescent="0.3">
      <c r="A37" s="110" t="str">
        <f>'بيانات التلاميذ في المادة '!A37:B37</f>
        <v>اشرف مبربش</v>
      </c>
      <c r="B37" s="110"/>
      <c r="C37" s="103" t="str">
        <f>'بيانات التلاميذ في المادة '!C37</f>
        <v>غ</v>
      </c>
      <c r="D37" s="103" t="str">
        <f>'بيانات التلاميذ في المادة '!D37</f>
        <v>غ</v>
      </c>
      <c r="E37" s="103" t="str">
        <f>'بيانات التلاميذ في المادة '!E37</f>
        <v>غ</v>
      </c>
      <c r="F37" s="103" t="str">
        <f>'بيانات التلاميذ في المادة '!F37</f>
        <v>غ</v>
      </c>
      <c r="G37" s="83">
        <f t="shared" si="0"/>
        <v>0</v>
      </c>
      <c r="H37" s="85">
        <f t="shared" si="1"/>
        <v>0</v>
      </c>
      <c r="I37" s="89">
        <f t="shared" si="2"/>
        <v>0</v>
      </c>
      <c r="J37" s="96">
        <f t="shared" si="3"/>
        <v>0</v>
      </c>
      <c r="K37" s="22" t="str">
        <f t="shared" si="4"/>
        <v/>
      </c>
      <c r="L37" s="104"/>
    </row>
    <row r="38" spans="1:12" s="105" customFormat="1" ht="14.1" customHeight="1" x14ac:dyDescent="0.3">
      <c r="A38" s="110" t="str">
        <f>'بيانات التلاميذ في المادة '!A38:B38</f>
        <v>رميساء محمدي</v>
      </c>
      <c r="B38" s="110"/>
      <c r="C38" s="103" t="str">
        <f>'بيانات التلاميذ في المادة '!C38</f>
        <v>ب</v>
      </c>
      <c r="D38" s="103" t="str">
        <f>'بيانات التلاميذ في المادة '!D38</f>
        <v>ب</v>
      </c>
      <c r="E38" s="103" t="str">
        <f>'بيانات التلاميذ في المادة '!E38</f>
        <v>ب</v>
      </c>
      <c r="F38" s="103" t="str">
        <f>'بيانات التلاميذ في المادة '!F38</f>
        <v>ب</v>
      </c>
      <c r="G38" s="83">
        <f t="shared" si="0"/>
        <v>0</v>
      </c>
      <c r="H38" s="85">
        <f t="shared" si="1"/>
        <v>4</v>
      </c>
      <c r="I38" s="89">
        <f t="shared" si="2"/>
        <v>0</v>
      </c>
      <c r="J38" s="96">
        <f t="shared" si="3"/>
        <v>0</v>
      </c>
      <c r="K38" s="22" t="str">
        <f t="shared" si="4"/>
        <v/>
      </c>
      <c r="L38" s="104"/>
    </row>
    <row r="39" spans="1:12" s="105" customFormat="1" ht="14.1" customHeight="1" x14ac:dyDescent="0.3">
      <c r="A39" s="110" t="str">
        <f>'بيانات التلاميذ في المادة '!A39:B39</f>
        <v>إبتهال مخطار أفغول</v>
      </c>
      <c r="B39" s="110"/>
      <c r="C39" s="103" t="str">
        <f>'بيانات التلاميذ في المادة '!C39</f>
        <v>غ</v>
      </c>
      <c r="D39" s="103" t="str">
        <f>'بيانات التلاميذ في المادة '!D39</f>
        <v>غ</v>
      </c>
      <c r="E39" s="103" t="str">
        <f>'بيانات التلاميذ في المادة '!E39</f>
        <v>غ</v>
      </c>
      <c r="F39" s="103" t="str">
        <f>'بيانات التلاميذ في المادة '!F39</f>
        <v>غ</v>
      </c>
      <c r="G39" s="83">
        <f t="shared" si="0"/>
        <v>0</v>
      </c>
      <c r="H39" s="85">
        <f t="shared" si="1"/>
        <v>0</v>
      </c>
      <c r="I39" s="89">
        <f t="shared" si="2"/>
        <v>0</v>
      </c>
      <c r="J39" s="96">
        <f t="shared" si="3"/>
        <v>0</v>
      </c>
      <c r="K39" s="22" t="str">
        <f t="shared" si="4"/>
        <v/>
      </c>
      <c r="L39" s="104"/>
    </row>
    <row r="40" spans="1:12" s="105" customFormat="1" ht="14.1" customHeight="1" x14ac:dyDescent="0.3">
      <c r="A40" s="110" t="str">
        <f>'بيانات التلاميذ في المادة '!A40:B40</f>
        <v>مروى مخفي</v>
      </c>
      <c r="B40" s="110"/>
      <c r="C40" s="103" t="str">
        <f>'بيانات التلاميذ في المادة '!C40</f>
        <v>أ</v>
      </c>
      <c r="D40" s="103" t="str">
        <f>'بيانات التلاميذ في المادة '!D40</f>
        <v>ج</v>
      </c>
      <c r="E40" s="103" t="str">
        <f>'بيانات التلاميذ في المادة '!E40</f>
        <v>أ</v>
      </c>
      <c r="F40" s="103" t="str">
        <f>'بيانات التلاميذ في المادة '!F40</f>
        <v>ب</v>
      </c>
      <c r="G40" s="83">
        <f t="shared" si="0"/>
        <v>2</v>
      </c>
      <c r="H40" s="85">
        <f t="shared" si="1"/>
        <v>1</v>
      </c>
      <c r="I40" s="89">
        <f t="shared" si="2"/>
        <v>1</v>
      </c>
      <c r="J40" s="96">
        <f t="shared" si="3"/>
        <v>0</v>
      </c>
      <c r="K40" s="22" t="str">
        <f t="shared" si="4"/>
        <v>X</v>
      </c>
      <c r="L40" s="104"/>
    </row>
    <row r="41" spans="1:12" s="105" customFormat="1" ht="14.1" customHeight="1" x14ac:dyDescent="0.3">
      <c r="A41" s="110" t="str">
        <f>'بيانات التلاميذ في المادة '!A41:B41</f>
        <v>شهاب عبدالإله مديوني</v>
      </c>
      <c r="B41" s="110"/>
      <c r="C41" s="103" t="str">
        <f>'بيانات التلاميذ في المادة '!C41</f>
        <v>ب</v>
      </c>
      <c r="D41" s="103" t="str">
        <f>'بيانات التلاميذ في المادة '!D41</f>
        <v>ب</v>
      </c>
      <c r="E41" s="103" t="str">
        <f>'بيانات التلاميذ في المادة '!E41</f>
        <v>ب</v>
      </c>
      <c r="F41" s="103" t="str">
        <f>'بيانات التلاميذ في المادة '!F41</f>
        <v>ب</v>
      </c>
      <c r="G41" s="83">
        <f t="shared" si="0"/>
        <v>0</v>
      </c>
      <c r="H41" s="85">
        <f t="shared" si="1"/>
        <v>4</v>
      </c>
      <c r="I41" s="89">
        <f t="shared" si="2"/>
        <v>0</v>
      </c>
      <c r="J41" s="96">
        <f t="shared" si="3"/>
        <v>0</v>
      </c>
      <c r="K41" s="22" t="str">
        <f t="shared" si="4"/>
        <v/>
      </c>
      <c r="L41" s="104"/>
    </row>
    <row r="42" spans="1:12" s="105" customFormat="1" ht="14.1" customHeight="1" x14ac:dyDescent="0.3">
      <c r="A42" s="110" t="str">
        <f>'بيانات التلاميذ في المادة '!A42:B42</f>
        <v>عبد الرحمان مغدوري</v>
      </c>
      <c r="B42" s="110"/>
      <c r="C42" s="103" t="str">
        <f>'بيانات التلاميذ في المادة '!C42</f>
        <v>أ</v>
      </c>
      <c r="D42" s="103" t="str">
        <f>'بيانات التلاميذ في المادة '!D42</f>
        <v>أ</v>
      </c>
      <c r="E42" s="103" t="str">
        <f>'بيانات التلاميذ في المادة '!E42</f>
        <v>أ</v>
      </c>
      <c r="F42" s="103" t="str">
        <f>'بيانات التلاميذ في المادة '!F42</f>
        <v>أ</v>
      </c>
      <c r="G42" s="83">
        <f t="shared" si="0"/>
        <v>4</v>
      </c>
      <c r="H42" s="85">
        <f t="shared" si="1"/>
        <v>0</v>
      </c>
      <c r="I42" s="89">
        <f t="shared" si="2"/>
        <v>0</v>
      </c>
      <c r="J42" s="96">
        <f t="shared" si="3"/>
        <v>0</v>
      </c>
      <c r="K42" s="22" t="str">
        <f t="shared" si="4"/>
        <v/>
      </c>
      <c r="L42" s="104"/>
    </row>
    <row r="43" spans="1:12" s="105" customFormat="1" ht="14.1" customHeight="1" x14ac:dyDescent="0.3">
      <c r="A43" s="110" t="str">
        <f>'بيانات التلاميذ في المادة '!A43:B43</f>
        <v>معاذ مقدم</v>
      </c>
      <c r="B43" s="110"/>
      <c r="C43" s="103" t="str">
        <f>'بيانات التلاميذ في المادة '!C43</f>
        <v>أ</v>
      </c>
      <c r="D43" s="103" t="str">
        <f>'بيانات التلاميذ في المادة '!D43</f>
        <v>أ</v>
      </c>
      <c r="E43" s="103" t="str">
        <f>'بيانات التلاميذ في المادة '!E43</f>
        <v>أ</v>
      </c>
      <c r="F43" s="103" t="str">
        <f>'بيانات التلاميذ في المادة '!F43</f>
        <v>ب</v>
      </c>
      <c r="G43" s="83">
        <f t="shared" si="0"/>
        <v>3</v>
      </c>
      <c r="H43" s="85">
        <f t="shared" si="1"/>
        <v>1</v>
      </c>
      <c r="I43" s="89">
        <f t="shared" si="2"/>
        <v>0</v>
      </c>
      <c r="J43" s="96">
        <f t="shared" si="3"/>
        <v>0</v>
      </c>
      <c r="K43" s="22" t="str">
        <f t="shared" si="4"/>
        <v/>
      </c>
      <c r="L43" s="104"/>
    </row>
    <row r="44" spans="1:12" s="105" customFormat="1" ht="14.1" customHeight="1" x14ac:dyDescent="0.3">
      <c r="A44" s="110">
        <f>'بيانات التلاميذ في المادة '!A44:B44</f>
        <v>0</v>
      </c>
      <c r="B44" s="110"/>
      <c r="C44" s="103" t="str">
        <f>'بيانات التلاميذ في المادة '!C44</f>
        <v>ب</v>
      </c>
      <c r="D44" s="103" t="str">
        <f>'بيانات التلاميذ في المادة '!D44</f>
        <v>أ</v>
      </c>
      <c r="E44" s="103" t="str">
        <f>'بيانات التلاميذ في المادة '!E44</f>
        <v>أ</v>
      </c>
      <c r="F44" s="103" t="str">
        <f>'بيانات التلاميذ في المادة '!F44</f>
        <v>أ</v>
      </c>
      <c r="G44" s="83">
        <f t="shared" si="0"/>
        <v>3</v>
      </c>
      <c r="H44" s="85">
        <f t="shared" si="1"/>
        <v>1</v>
      </c>
      <c r="I44" s="89">
        <f t="shared" si="2"/>
        <v>0</v>
      </c>
      <c r="J44" s="96">
        <f t="shared" si="3"/>
        <v>0</v>
      </c>
      <c r="K44" s="22" t="str">
        <f t="shared" si="4"/>
        <v/>
      </c>
      <c r="L44" s="104"/>
    </row>
    <row r="45" spans="1:12" s="105" customFormat="1" ht="14.1" customHeight="1" x14ac:dyDescent="0.3">
      <c r="A45" s="110" t="str">
        <f>'بيانات التلاميذ في المادة '!A45:B45</f>
        <v>هبة مول الخلوة</v>
      </c>
      <c r="B45" s="110"/>
      <c r="C45" s="103" t="str">
        <f>'بيانات التلاميذ في المادة '!C45</f>
        <v>أ</v>
      </c>
      <c r="D45" s="103" t="str">
        <f>'بيانات التلاميذ في المادة '!D45</f>
        <v>أ</v>
      </c>
      <c r="E45" s="103" t="str">
        <f>'بيانات التلاميذ في المادة '!E45</f>
        <v>أ</v>
      </c>
      <c r="F45" s="103" t="str">
        <f>'بيانات التلاميذ في المادة '!F45</f>
        <v>أ</v>
      </c>
      <c r="G45" s="83">
        <f t="shared" si="0"/>
        <v>4</v>
      </c>
      <c r="H45" s="85">
        <f t="shared" si="1"/>
        <v>0</v>
      </c>
      <c r="I45" s="89">
        <f t="shared" si="2"/>
        <v>0</v>
      </c>
      <c r="J45" s="96">
        <f t="shared" si="3"/>
        <v>0</v>
      </c>
      <c r="K45" s="22" t="str">
        <f t="shared" si="4"/>
        <v/>
      </c>
      <c r="L45" s="104"/>
    </row>
    <row r="46" spans="1:12" s="105" customFormat="1" ht="14.1" customHeight="1" x14ac:dyDescent="0.3">
      <c r="A46" s="110" t="str">
        <f>'بيانات التلاميذ في المادة '!A46:B46</f>
        <v>سحر ميسوم</v>
      </c>
      <c r="B46" s="110"/>
      <c r="C46" s="103" t="str">
        <f>'بيانات التلاميذ في المادة '!C46</f>
        <v>ب</v>
      </c>
      <c r="D46" s="103" t="str">
        <f>'بيانات التلاميذ في المادة '!D46</f>
        <v>أ</v>
      </c>
      <c r="E46" s="103" t="str">
        <f>'بيانات التلاميذ في المادة '!E46</f>
        <v>ب</v>
      </c>
      <c r="F46" s="103" t="str">
        <f>'بيانات التلاميذ في المادة '!F46</f>
        <v>ب</v>
      </c>
      <c r="G46" s="83">
        <f t="shared" si="0"/>
        <v>1</v>
      </c>
      <c r="H46" s="85">
        <f t="shared" si="1"/>
        <v>3</v>
      </c>
      <c r="I46" s="89">
        <f t="shared" si="2"/>
        <v>0</v>
      </c>
      <c r="J46" s="96">
        <f t="shared" si="3"/>
        <v>0</v>
      </c>
      <c r="K46" s="22" t="str">
        <f t="shared" si="4"/>
        <v/>
      </c>
      <c r="L46" s="104"/>
    </row>
    <row r="47" spans="1:12" s="105" customFormat="1" ht="14.1" customHeight="1" x14ac:dyDescent="0.3">
      <c r="A47" s="110" t="str">
        <f>'بيانات التلاميذ في المادة '!A47:B47</f>
        <v>احمد وائل الحسين وراد</v>
      </c>
      <c r="B47" s="110"/>
      <c r="C47" s="103" t="str">
        <f>'بيانات التلاميذ في المادة '!C47</f>
        <v>ب</v>
      </c>
      <c r="D47" s="103" t="str">
        <f>'بيانات التلاميذ في المادة '!D47</f>
        <v>ب</v>
      </c>
      <c r="E47" s="103" t="str">
        <f>'بيانات التلاميذ في المادة '!E47</f>
        <v>ب</v>
      </c>
      <c r="F47" s="103" t="str">
        <f>'بيانات التلاميذ في المادة '!F47</f>
        <v>ب</v>
      </c>
      <c r="G47" s="83">
        <f t="shared" si="0"/>
        <v>0</v>
      </c>
      <c r="H47" s="85">
        <f t="shared" si="1"/>
        <v>4</v>
      </c>
      <c r="I47" s="89">
        <f t="shared" si="2"/>
        <v>0</v>
      </c>
      <c r="J47" s="96">
        <f t="shared" si="3"/>
        <v>0</v>
      </c>
      <c r="K47" s="22" t="str">
        <f t="shared" si="4"/>
        <v/>
      </c>
      <c r="L47" s="104"/>
    </row>
    <row r="48" spans="1:12" s="105" customFormat="1" ht="14.1" customHeight="1" x14ac:dyDescent="0.3">
      <c r="A48" s="110" t="str">
        <f>'بيانات التلاميذ في المادة '!A48:B48</f>
        <v>سارة يحياوي</v>
      </c>
      <c r="B48" s="110"/>
      <c r="C48" s="103" t="str">
        <f>'بيانات التلاميذ في المادة '!C48</f>
        <v>أ</v>
      </c>
      <c r="D48" s="103" t="str">
        <f>'بيانات التلاميذ في المادة '!D48</f>
        <v>أ</v>
      </c>
      <c r="E48" s="103" t="str">
        <f>'بيانات التلاميذ في المادة '!E48</f>
        <v>أ</v>
      </c>
      <c r="F48" s="103" t="str">
        <f>'بيانات التلاميذ في المادة '!F48</f>
        <v>أ</v>
      </c>
      <c r="G48" s="83">
        <f t="shared" si="0"/>
        <v>4</v>
      </c>
      <c r="H48" s="85">
        <f t="shared" si="1"/>
        <v>0</v>
      </c>
      <c r="I48" s="89">
        <f t="shared" si="2"/>
        <v>0</v>
      </c>
      <c r="J48" s="96">
        <f t="shared" si="3"/>
        <v>0</v>
      </c>
      <c r="K48" s="22" t="str">
        <f t="shared" si="4"/>
        <v/>
      </c>
      <c r="L48" s="104"/>
    </row>
    <row r="49" spans="1:12" s="105" customFormat="1" ht="14.1" customHeight="1" x14ac:dyDescent="0.3">
      <c r="A49" s="110">
        <f>'بيانات التلاميذ في المادة '!A49:B49</f>
        <v>0</v>
      </c>
      <c r="B49" s="110"/>
      <c r="C49" s="103">
        <f>'بيانات التلاميذ في المادة '!C49</f>
        <v>0</v>
      </c>
      <c r="D49" s="103">
        <f>'بيانات التلاميذ في المادة '!D49</f>
        <v>0</v>
      </c>
      <c r="E49" s="103">
        <f>'بيانات التلاميذ في المادة '!E49</f>
        <v>0</v>
      </c>
      <c r="F49" s="103">
        <f>'بيانات التلاميذ في المادة '!F49</f>
        <v>0</v>
      </c>
      <c r="G49" s="83">
        <f t="shared" si="0"/>
        <v>0</v>
      </c>
      <c r="H49" s="85">
        <f t="shared" si="1"/>
        <v>0</v>
      </c>
      <c r="I49" s="89">
        <f t="shared" si="2"/>
        <v>0</v>
      </c>
      <c r="J49" s="96">
        <f t="shared" si="3"/>
        <v>0</v>
      </c>
      <c r="K49" s="22" t="str">
        <f t="shared" si="4"/>
        <v/>
      </c>
      <c r="L49" s="104"/>
    </row>
    <row r="50" spans="1:12" s="105" customFormat="1" ht="14.1" customHeight="1" x14ac:dyDescent="0.3">
      <c r="A50" s="110">
        <f>'بيانات التلاميذ في المادة '!A50:B50</f>
        <v>0</v>
      </c>
      <c r="B50" s="110"/>
      <c r="C50" s="103">
        <f>'بيانات التلاميذ في المادة '!C50</f>
        <v>0</v>
      </c>
      <c r="D50" s="103">
        <f>'بيانات التلاميذ في المادة '!D50</f>
        <v>0</v>
      </c>
      <c r="E50" s="103">
        <f>'بيانات التلاميذ في المادة '!E50</f>
        <v>0</v>
      </c>
      <c r="F50" s="103">
        <f>'بيانات التلاميذ في المادة '!F50</f>
        <v>0</v>
      </c>
      <c r="G50" s="83">
        <f t="shared" si="0"/>
        <v>0</v>
      </c>
      <c r="H50" s="85">
        <f t="shared" si="1"/>
        <v>0</v>
      </c>
      <c r="I50" s="89">
        <f t="shared" si="2"/>
        <v>0</v>
      </c>
      <c r="J50" s="96">
        <f t="shared" si="3"/>
        <v>0</v>
      </c>
      <c r="K50" s="22" t="str">
        <f t="shared" si="4"/>
        <v/>
      </c>
      <c r="L50" s="104"/>
    </row>
    <row r="51" spans="1:12" s="105" customFormat="1" ht="14.1" customHeight="1" x14ac:dyDescent="0.3">
      <c r="A51" s="110">
        <f>'بيانات التلاميذ في المادة '!A51:B51</f>
        <v>0</v>
      </c>
      <c r="B51" s="110"/>
      <c r="C51" s="103">
        <f>'بيانات التلاميذ في المادة '!C51</f>
        <v>0</v>
      </c>
      <c r="D51" s="103">
        <f>'بيانات التلاميذ في المادة '!D51</f>
        <v>0</v>
      </c>
      <c r="E51" s="103">
        <f>'بيانات التلاميذ في المادة '!E51</f>
        <v>0</v>
      </c>
      <c r="F51" s="103">
        <f>'بيانات التلاميذ في المادة '!F51</f>
        <v>0</v>
      </c>
      <c r="G51" s="83">
        <f t="shared" si="0"/>
        <v>0</v>
      </c>
      <c r="H51" s="85">
        <f t="shared" si="1"/>
        <v>0</v>
      </c>
      <c r="I51" s="89">
        <f t="shared" si="2"/>
        <v>0</v>
      </c>
      <c r="J51" s="96">
        <f t="shared" si="3"/>
        <v>0</v>
      </c>
      <c r="K51" s="22" t="str">
        <f t="shared" si="4"/>
        <v/>
      </c>
      <c r="L51" s="104"/>
    </row>
    <row r="52" spans="1:12" s="105" customFormat="1" ht="14.1" customHeight="1" x14ac:dyDescent="0.3">
      <c r="A52" s="110">
        <f>'بيانات التلاميذ في المادة '!A52:B52</f>
        <v>0</v>
      </c>
      <c r="B52" s="110"/>
      <c r="C52" s="103">
        <f>'بيانات التلاميذ في المادة '!C52</f>
        <v>0</v>
      </c>
      <c r="D52" s="103">
        <f>'بيانات التلاميذ في المادة '!D52</f>
        <v>0</v>
      </c>
      <c r="E52" s="103">
        <f>'بيانات التلاميذ في المادة '!E52</f>
        <v>0</v>
      </c>
      <c r="F52" s="103">
        <f>'بيانات التلاميذ في المادة '!F52</f>
        <v>0</v>
      </c>
      <c r="G52" s="83">
        <f t="shared" si="0"/>
        <v>0</v>
      </c>
      <c r="H52" s="85">
        <f t="shared" si="1"/>
        <v>0</v>
      </c>
      <c r="I52" s="89">
        <f t="shared" si="2"/>
        <v>0</v>
      </c>
      <c r="J52" s="96">
        <f t="shared" si="3"/>
        <v>0</v>
      </c>
      <c r="K52" s="22" t="str">
        <f t="shared" si="4"/>
        <v/>
      </c>
      <c r="L52" s="104"/>
    </row>
    <row r="53" spans="1:12" s="105" customFormat="1" ht="14.1" customHeight="1" x14ac:dyDescent="0.3">
      <c r="A53" s="110">
        <f>'بيانات التلاميذ في المادة '!A53:B53</f>
        <v>0</v>
      </c>
      <c r="B53" s="110"/>
      <c r="C53" s="103">
        <f>'بيانات التلاميذ في المادة '!C53</f>
        <v>0</v>
      </c>
      <c r="D53" s="103">
        <f>'بيانات التلاميذ في المادة '!D53</f>
        <v>0</v>
      </c>
      <c r="E53" s="103">
        <f>'بيانات التلاميذ في المادة '!E53</f>
        <v>0</v>
      </c>
      <c r="F53" s="103">
        <f>'بيانات التلاميذ في المادة '!F53</f>
        <v>0</v>
      </c>
      <c r="G53" s="83">
        <f t="shared" si="0"/>
        <v>0</v>
      </c>
      <c r="H53" s="85">
        <f t="shared" si="1"/>
        <v>0</v>
      </c>
      <c r="I53" s="89">
        <f t="shared" si="2"/>
        <v>0</v>
      </c>
      <c r="J53" s="96">
        <f t="shared" si="3"/>
        <v>0</v>
      </c>
      <c r="K53" s="22" t="str">
        <f t="shared" si="4"/>
        <v/>
      </c>
      <c r="L53" s="104"/>
    </row>
    <row r="54" spans="1:12" s="105" customFormat="1" ht="14.1" customHeight="1" x14ac:dyDescent="0.3">
      <c r="A54" s="110">
        <f>'بيانات التلاميذ في المادة '!A54:B54</f>
        <v>0</v>
      </c>
      <c r="B54" s="110"/>
      <c r="C54" s="103">
        <f>'بيانات التلاميذ في المادة '!C54</f>
        <v>0</v>
      </c>
      <c r="D54" s="103">
        <f>'بيانات التلاميذ في المادة '!D54</f>
        <v>0</v>
      </c>
      <c r="E54" s="103">
        <f>'بيانات التلاميذ في المادة '!E54</f>
        <v>0</v>
      </c>
      <c r="F54" s="103">
        <f>'بيانات التلاميذ في المادة '!F54</f>
        <v>0</v>
      </c>
      <c r="G54" s="83">
        <f t="shared" si="0"/>
        <v>0</v>
      </c>
      <c r="H54" s="85">
        <f t="shared" si="1"/>
        <v>0</v>
      </c>
      <c r="I54" s="89">
        <f t="shared" si="2"/>
        <v>0</v>
      </c>
      <c r="J54" s="96">
        <f t="shared" si="3"/>
        <v>0</v>
      </c>
      <c r="K54" s="22" t="str">
        <f t="shared" si="4"/>
        <v/>
      </c>
      <c r="L54" s="104"/>
    </row>
    <row r="55" spans="1:12" s="1" customFormat="1" ht="21.95" customHeight="1" x14ac:dyDescent="0.35">
      <c r="A55" s="111" t="s">
        <v>0</v>
      </c>
      <c r="B55" s="112"/>
      <c r="C55" s="15">
        <f>COUNTIF(C5:C54,"أ")</f>
        <v>17</v>
      </c>
      <c r="D55" s="15">
        <f t="shared" ref="D55:F55" si="5">COUNTIF(D5:D54,"أ")</f>
        <v>18</v>
      </c>
      <c r="E55" s="15">
        <f t="shared" si="5"/>
        <v>17</v>
      </c>
      <c r="F55" s="15">
        <f t="shared" si="5"/>
        <v>17</v>
      </c>
      <c r="G55" s="84">
        <f>SUM(G5:G54)</f>
        <v>69</v>
      </c>
      <c r="H55" s="86"/>
      <c r="I55" s="90"/>
      <c r="J55" s="97"/>
      <c r="K55" s="19">
        <f>COUNTIF(K5:K54,"X")</f>
        <v>13</v>
      </c>
    </row>
    <row r="56" spans="1:12" s="1" customFormat="1" ht="21.95" customHeight="1" x14ac:dyDescent="0.25">
      <c r="A56" s="113" t="s">
        <v>1</v>
      </c>
      <c r="B56" s="114"/>
      <c r="C56" s="16">
        <f>COUNTIF(C5:C54,"ب")</f>
        <v>13</v>
      </c>
      <c r="D56" s="16">
        <f t="shared" ref="D56:F56" si="6">COUNTIF(D5:D54,"ب")</f>
        <v>10</v>
      </c>
      <c r="E56" s="16">
        <f t="shared" si="6"/>
        <v>15</v>
      </c>
      <c r="F56" s="16">
        <f t="shared" si="6"/>
        <v>13</v>
      </c>
      <c r="G56" s="88"/>
      <c r="H56" s="87">
        <f>SUM(H6:H55)</f>
        <v>51</v>
      </c>
      <c r="I56" s="91"/>
      <c r="J56" s="97"/>
      <c r="K56" s="6"/>
    </row>
    <row r="57" spans="1:12" s="1" customFormat="1" ht="21.95" customHeight="1" x14ac:dyDescent="0.25">
      <c r="A57" s="113" t="s">
        <v>2</v>
      </c>
      <c r="B57" s="114"/>
      <c r="C57" s="17">
        <f>COUNTIF(C5:C54,"ج")</f>
        <v>7</v>
      </c>
      <c r="D57" s="17">
        <f t="shared" ref="D57:F57" si="7">COUNTIF(D5:D54,"ج")</f>
        <v>11</v>
      </c>
      <c r="E57" s="17">
        <f t="shared" si="7"/>
        <v>7</v>
      </c>
      <c r="F57" s="17">
        <f t="shared" si="7"/>
        <v>7</v>
      </c>
      <c r="G57" s="92"/>
      <c r="H57" s="93"/>
      <c r="I57" s="17">
        <f>SUM(I7:I56)</f>
        <v>27</v>
      </c>
      <c r="J57" s="98"/>
      <c r="K57" s="6"/>
    </row>
    <row r="58" spans="1:12" s="1" customFormat="1" ht="21.95" customHeight="1" x14ac:dyDescent="0.25">
      <c r="A58" s="113" t="s">
        <v>3</v>
      </c>
      <c r="B58" s="114"/>
      <c r="C58" s="18">
        <f>COUNTIF(C5:C54,"د")</f>
        <v>3</v>
      </c>
      <c r="D58" s="18">
        <f t="shared" ref="D58:F58" si="8">COUNTIF(D5:D54,"د")</f>
        <v>1</v>
      </c>
      <c r="E58" s="18">
        <f t="shared" si="8"/>
        <v>1</v>
      </c>
      <c r="F58" s="18">
        <f t="shared" si="8"/>
        <v>3</v>
      </c>
      <c r="G58" s="94"/>
      <c r="H58" s="94"/>
      <c r="I58" s="95"/>
      <c r="J58" s="18">
        <f>SUM(J8:J57)</f>
        <v>6</v>
      </c>
      <c r="K58" s="6"/>
    </row>
    <row r="59" spans="1:12" ht="21.95" customHeight="1" x14ac:dyDescent="0.25">
      <c r="A59" s="109" t="s">
        <v>44</v>
      </c>
      <c r="B59" s="109"/>
      <c r="C59" s="62">
        <f>COUNTIF(C5:C54,"غ")</f>
        <v>4</v>
      </c>
      <c r="D59" s="62">
        <f t="shared" ref="D59:F59" si="9">COUNTIF(D5:D54,"غ")</f>
        <v>4</v>
      </c>
      <c r="E59" s="62">
        <f t="shared" si="9"/>
        <v>4</v>
      </c>
      <c r="F59" s="62">
        <f t="shared" si="9"/>
        <v>4</v>
      </c>
    </row>
  </sheetData>
  <sheetProtection algorithmName="SHA-512" hashValue="VvCZA1yPpELlM0AOK6vErX7D5Ngsrnd5LKBnHHm5p4qsz4uTgbOh0oF/XB6hAPqlCKVgYbmOo12J5M8NE3cVVg==" saltValue="mRj/PXjDeHU9DLq4fN3TTw==" spinCount="100000" sheet="1" objects="1" scenarios="1"/>
  <mergeCells count="61">
    <mergeCell ref="B1:J1"/>
    <mergeCell ref="B2:J2"/>
    <mergeCell ref="A3:B3"/>
    <mergeCell ref="C3:F3"/>
    <mergeCell ref="G3:J3"/>
    <mergeCell ref="A14:B14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38:B38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54:B54"/>
    <mergeCell ref="A48:B48"/>
    <mergeCell ref="A27:B27"/>
    <mergeCell ref="A28:B28"/>
    <mergeCell ref="A29:B29"/>
    <mergeCell ref="A30:B30"/>
    <mergeCell ref="A31:B31"/>
    <mergeCell ref="A32:B32"/>
    <mergeCell ref="A33:B33"/>
    <mergeCell ref="A34:B34"/>
    <mergeCell ref="A45:B45"/>
    <mergeCell ref="A46:B46"/>
    <mergeCell ref="A47:B47"/>
    <mergeCell ref="A35:B35"/>
    <mergeCell ref="A36:B36"/>
    <mergeCell ref="A37:B37"/>
    <mergeCell ref="A59:B59"/>
    <mergeCell ref="A44:B44"/>
    <mergeCell ref="A39:B39"/>
    <mergeCell ref="A40:B40"/>
    <mergeCell ref="A41:B41"/>
    <mergeCell ref="A42:B42"/>
    <mergeCell ref="A43:B43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</mergeCells>
  <conditionalFormatting sqref="A55">
    <cfRule type="containsText" dxfId="115" priority="37" operator="containsText" text="د">
      <formula>NOT(ISERROR(SEARCH("د",A55)))</formula>
    </cfRule>
    <cfRule type="containsText" dxfId="114" priority="38" operator="containsText" text="ج">
      <formula>NOT(ISERROR(SEARCH("ج",A55)))</formula>
    </cfRule>
    <cfRule type="containsText" dxfId="113" priority="39" operator="containsText" text="ب">
      <formula>NOT(ISERROR(SEARCH("ب",A55)))</formula>
    </cfRule>
    <cfRule type="containsText" dxfId="112" priority="40" operator="containsText" text="أ">
      <formula>NOT(ISERROR(SEARCH("أ",A55)))</formula>
    </cfRule>
  </conditionalFormatting>
  <conditionalFormatting sqref="A56">
    <cfRule type="containsText" dxfId="111" priority="33" operator="containsText" text="د">
      <formula>NOT(ISERROR(SEARCH("د",A56)))</formula>
    </cfRule>
    <cfRule type="containsText" dxfId="110" priority="34" operator="containsText" text="ج">
      <formula>NOT(ISERROR(SEARCH("ج",A56)))</formula>
    </cfRule>
    <cfRule type="containsText" dxfId="109" priority="35" operator="containsText" text="ب">
      <formula>NOT(ISERROR(SEARCH("ب",A56)))</formula>
    </cfRule>
    <cfRule type="containsText" dxfId="108" priority="36" operator="containsText" text="أ">
      <formula>NOT(ISERROR(SEARCH("أ",A56)))</formula>
    </cfRule>
  </conditionalFormatting>
  <conditionalFormatting sqref="A57">
    <cfRule type="containsText" dxfId="107" priority="29" operator="containsText" text="د">
      <formula>NOT(ISERROR(SEARCH("د",A57)))</formula>
    </cfRule>
    <cfRule type="containsText" dxfId="106" priority="30" operator="containsText" text="ج">
      <formula>NOT(ISERROR(SEARCH("ج",A57)))</formula>
    </cfRule>
    <cfRule type="containsText" dxfId="105" priority="31" operator="containsText" text="ب">
      <formula>NOT(ISERROR(SEARCH("ب",A57)))</formula>
    </cfRule>
    <cfRule type="containsText" dxfId="104" priority="32" operator="containsText" text="أ">
      <formula>NOT(ISERROR(SEARCH("أ",A57)))</formula>
    </cfRule>
  </conditionalFormatting>
  <conditionalFormatting sqref="A58">
    <cfRule type="containsText" dxfId="103" priority="25" operator="containsText" text="د">
      <formula>NOT(ISERROR(SEARCH("د",A58)))</formula>
    </cfRule>
    <cfRule type="containsText" dxfId="102" priority="26" operator="containsText" text="ج">
      <formula>NOT(ISERROR(SEARCH("ج",A58)))</formula>
    </cfRule>
    <cfRule type="containsText" dxfId="101" priority="27" operator="containsText" text="ب">
      <formula>NOT(ISERROR(SEARCH("ب",A58)))</formula>
    </cfRule>
    <cfRule type="containsText" dxfId="100" priority="28" operator="containsText" text="أ">
      <formula>NOT(ISERROR(SEARCH("أ",A58)))</formula>
    </cfRule>
  </conditionalFormatting>
  <conditionalFormatting sqref="C5:F54">
    <cfRule type="containsText" dxfId="99" priority="17" operator="containsText" text="د">
      <formula>NOT(ISERROR(SEARCH("د",C5)))</formula>
    </cfRule>
    <cfRule type="containsText" dxfId="98" priority="18" operator="containsText" text="ج">
      <formula>NOT(ISERROR(SEARCH("ج",C5)))</formula>
    </cfRule>
    <cfRule type="containsText" dxfId="97" priority="19" operator="containsText" text="ب">
      <formula>NOT(ISERROR(SEARCH("ب",C5)))</formula>
    </cfRule>
    <cfRule type="containsText" dxfId="96" priority="20" operator="containsText" text="أ">
      <formula>NOT(ISERROR(SEARCH("أ",C5)))</formula>
    </cfRule>
  </conditionalFormatting>
  <conditionalFormatting sqref="C5:F54">
    <cfRule type="containsText" dxfId="95" priority="21" operator="containsText" text="د">
      <formula>NOT(ISERROR(SEARCH("د",C5)))</formula>
    </cfRule>
    <cfRule type="containsText" dxfId="94" priority="22" operator="containsText" text="ج">
      <formula>NOT(ISERROR(SEARCH("ج",C5)))</formula>
    </cfRule>
    <cfRule type="containsText" dxfId="93" priority="23" operator="containsText" text="ب">
      <formula>NOT(ISERROR(SEARCH("ب",C5)))</formula>
    </cfRule>
    <cfRule type="containsText" dxfId="92" priority="24" operator="containsText" text="أ">
      <formula>NOT(ISERROR(SEARCH("أ",C5)))</formula>
    </cfRule>
  </conditionalFormatting>
  <conditionalFormatting sqref="G4">
    <cfRule type="containsText" dxfId="91" priority="13" operator="containsText" text="د">
      <formula>NOT(ISERROR(SEARCH("د",G4)))</formula>
    </cfRule>
    <cfRule type="containsText" dxfId="90" priority="14" operator="containsText" text="ج">
      <formula>NOT(ISERROR(SEARCH("ج",G4)))</formula>
    </cfRule>
    <cfRule type="containsText" dxfId="89" priority="15" operator="containsText" text="ب">
      <formula>NOT(ISERROR(SEARCH("ب",G4)))</formula>
    </cfRule>
    <cfRule type="containsText" dxfId="88" priority="16" operator="containsText" text="أ">
      <formula>NOT(ISERROR(SEARCH("أ",G4)))</formula>
    </cfRule>
  </conditionalFormatting>
  <conditionalFormatting sqref="H4">
    <cfRule type="containsText" dxfId="87" priority="9" operator="containsText" text="د">
      <formula>NOT(ISERROR(SEARCH("د",H4)))</formula>
    </cfRule>
    <cfRule type="containsText" dxfId="86" priority="10" operator="containsText" text="ج">
      <formula>NOT(ISERROR(SEARCH("ج",H4)))</formula>
    </cfRule>
    <cfRule type="containsText" dxfId="85" priority="11" operator="containsText" text="ب">
      <formula>NOT(ISERROR(SEARCH("ب",H4)))</formula>
    </cfRule>
    <cfRule type="containsText" dxfId="84" priority="12" operator="containsText" text="أ">
      <formula>NOT(ISERROR(SEARCH("أ",H4)))</formula>
    </cfRule>
  </conditionalFormatting>
  <conditionalFormatting sqref="I4">
    <cfRule type="containsText" dxfId="83" priority="5" operator="containsText" text="د">
      <formula>NOT(ISERROR(SEARCH("د",I4)))</formula>
    </cfRule>
    <cfRule type="containsText" dxfId="82" priority="6" operator="containsText" text="ج">
      <formula>NOT(ISERROR(SEARCH("ج",I4)))</formula>
    </cfRule>
    <cfRule type="containsText" dxfId="81" priority="7" operator="containsText" text="ب">
      <formula>NOT(ISERROR(SEARCH("ب",I4)))</formula>
    </cfRule>
    <cfRule type="containsText" dxfId="80" priority="8" operator="containsText" text="أ">
      <formula>NOT(ISERROR(SEARCH("أ",I4)))</formula>
    </cfRule>
  </conditionalFormatting>
  <conditionalFormatting sqref="J4">
    <cfRule type="containsText" dxfId="79" priority="1" operator="containsText" text="د">
      <formula>NOT(ISERROR(SEARCH("د",J4)))</formula>
    </cfRule>
    <cfRule type="containsText" dxfId="78" priority="2" operator="containsText" text="ج">
      <formula>NOT(ISERROR(SEARCH("ج",J4)))</formula>
    </cfRule>
    <cfRule type="containsText" dxfId="77" priority="3" operator="containsText" text="ب">
      <formula>NOT(ISERROR(SEARCH("ب",J4)))</formula>
    </cfRule>
    <cfRule type="containsText" dxfId="76" priority="4" operator="containsText" text="أ">
      <formula>NOT(ISERROR(SEARCH("أ",J4)))</formula>
    </cfRule>
  </conditionalFormatting>
  <dataValidations count="2">
    <dataValidation type="list" allowBlank="1" showInputMessage="1" showErrorMessage="1" sqref="C5:F54" xr:uid="{57D104C6-2FA0-492E-8749-8B2FF75632DA}">
      <formula1>$G$4:$J$4</formula1>
    </dataValidation>
    <dataValidation operator="equal" allowBlank="1" showInputMessage="1" showErrorMessage="1" sqref="M4" xr:uid="{86F2F0EA-5491-413F-B8C1-52EF6B63C95D}"/>
  </dataValidations>
  <printOptions horizontalCentered="1"/>
  <pageMargins left="0" right="0" top="0.19685039370078741" bottom="0" header="0" footer="0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8D13-D307-4DCB-B655-20FAC02A81D8}">
  <dimension ref="A1:S59"/>
  <sheetViews>
    <sheetView showGridLines="0" rightToLeft="1" topLeftCell="A3" workbookViewId="0">
      <pane xSplit="2" ySplit="2" topLeftCell="C5" activePane="bottomRight" state="frozen"/>
      <selection activeCell="A5" sqref="A5:B5"/>
      <selection pane="topRight" activeCell="A5" sqref="A5:B5"/>
      <selection pane="bottomLeft" activeCell="A5" sqref="A5:B5"/>
      <selection pane="bottomRight" activeCell="N7" sqref="N7"/>
    </sheetView>
  </sheetViews>
  <sheetFormatPr baseColWidth="10" defaultColWidth="9.140625" defaultRowHeight="18" customHeight="1" x14ac:dyDescent="0.25"/>
  <cols>
    <col min="1" max="1" width="2.5703125" style="5" customWidth="1"/>
    <col min="2" max="2" width="20.7109375" style="7" customWidth="1"/>
    <col min="3" max="9" width="5.7109375" style="5" customWidth="1"/>
    <col min="10" max="10" width="20.7109375" style="7" customWidth="1"/>
    <col min="11" max="11" width="9.140625" style="8"/>
    <col min="12" max="16384" width="9.140625" style="5"/>
  </cols>
  <sheetData>
    <row r="1" spans="1:19" ht="25.5" customHeight="1" x14ac:dyDescent="0.25">
      <c r="B1" s="108" t="s">
        <v>14</v>
      </c>
      <c r="C1" s="108"/>
      <c r="D1" s="108"/>
      <c r="E1" s="108"/>
      <c r="F1" s="108"/>
      <c r="G1" s="108"/>
      <c r="H1" s="108"/>
      <c r="I1" s="108"/>
    </row>
    <row r="2" spans="1:19" ht="24.75" customHeight="1" x14ac:dyDescent="0.25">
      <c r="B2" s="108" t="s">
        <v>13</v>
      </c>
      <c r="C2" s="108"/>
      <c r="D2" s="108"/>
      <c r="E2" s="108"/>
      <c r="F2" s="108"/>
      <c r="G2" s="108"/>
      <c r="H2" s="108"/>
      <c r="I2" s="108"/>
    </row>
    <row r="3" spans="1:19" s="2" customFormat="1" ht="21.95" customHeight="1" x14ac:dyDescent="0.15">
      <c r="A3" s="116"/>
      <c r="B3" s="116"/>
      <c r="C3" s="107" t="s">
        <v>5</v>
      </c>
      <c r="D3" s="107"/>
      <c r="E3" s="107"/>
      <c r="F3" s="107" t="s">
        <v>12</v>
      </c>
      <c r="G3" s="107"/>
      <c r="H3" s="107"/>
      <c r="I3" s="107"/>
      <c r="J3" s="41" t="s">
        <v>10</v>
      </c>
    </row>
    <row r="4" spans="1:19" s="2" customFormat="1" ht="21.95" customHeight="1" x14ac:dyDescent="0.15">
      <c r="A4" s="115" t="s">
        <v>11</v>
      </c>
      <c r="B4" s="115"/>
      <c r="C4" s="26" t="s">
        <v>6</v>
      </c>
      <c r="D4" s="27" t="s">
        <v>7</v>
      </c>
      <c r="E4" s="28" t="s">
        <v>8</v>
      </c>
      <c r="F4" s="29" t="s">
        <v>0</v>
      </c>
      <c r="G4" s="29" t="s">
        <v>1</v>
      </c>
      <c r="H4" s="29" t="s">
        <v>2</v>
      </c>
      <c r="I4" s="29" t="s">
        <v>3</v>
      </c>
      <c r="J4" s="21" t="s">
        <v>42</v>
      </c>
      <c r="K4" s="1"/>
      <c r="L4" s="20"/>
    </row>
    <row r="5" spans="1:19" s="105" customFormat="1" ht="14.1" customHeight="1" x14ac:dyDescent="0.3">
      <c r="A5" s="110" t="str">
        <f>'بيانات التلاميذ في المادة '!A5:B5</f>
        <v>ريتاج أمبارك</v>
      </c>
      <c r="B5" s="110"/>
      <c r="C5" s="103" t="str">
        <f>'بيانات التلاميذ في المادة '!G5</f>
        <v>د</v>
      </c>
      <c r="D5" s="103" t="str">
        <f>'بيانات التلاميذ في المادة '!H5</f>
        <v>د</v>
      </c>
      <c r="E5" s="103" t="str">
        <f>'بيانات التلاميذ في المادة '!I5</f>
        <v>د</v>
      </c>
      <c r="F5" s="83">
        <f t="shared" ref="F5:F54" si="0">COUNTIF(C5:E5,"أ")</f>
        <v>0</v>
      </c>
      <c r="G5" s="85">
        <f t="shared" ref="G5:G54" si="1">COUNTIF(C5:E5,"ب")</f>
        <v>0</v>
      </c>
      <c r="H5" s="89">
        <f t="shared" ref="H5:H54" si="2">COUNTIF(C5:E5,"ج")</f>
        <v>0</v>
      </c>
      <c r="I5" s="96">
        <f t="shared" ref="I5:I54" si="3">COUNTIF(C5:E5,"د")</f>
        <v>3</v>
      </c>
      <c r="J5" s="22" t="str">
        <f>IF(COUNTIF(C5:E5,"ج")+COUNTIF(C5:E5,"د")&gt;=1,"X"," ")</f>
        <v>X</v>
      </c>
      <c r="K5" s="104"/>
      <c r="M5" s="77" t="s">
        <v>6</v>
      </c>
      <c r="N5" s="105" t="s">
        <v>19</v>
      </c>
      <c r="S5" s="106"/>
    </row>
    <row r="6" spans="1:19" s="105" customFormat="1" ht="14.1" customHeight="1" x14ac:dyDescent="0.3">
      <c r="A6" s="110" t="str">
        <f>'بيانات التلاميذ في المادة '!A6:B6</f>
        <v>محمد الرشيد بربارة</v>
      </c>
      <c r="B6" s="110"/>
      <c r="C6" s="103" t="str">
        <f>'بيانات التلاميذ في المادة '!G6</f>
        <v>ب</v>
      </c>
      <c r="D6" s="103" t="str">
        <f>'بيانات التلاميذ في المادة '!H6</f>
        <v>ب</v>
      </c>
      <c r="E6" s="103" t="str">
        <f>'بيانات التلاميذ في المادة '!I6</f>
        <v>ب</v>
      </c>
      <c r="F6" s="83">
        <f t="shared" si="0"/>
        <v>0</v>
      </c>
      <c r="G6" s="85">
        <f t="shared" si="1"/>
        <v>3</v>
      </c>
      <c r="H6" s="89">
        <f t="shared" si="2"/>
        <v>0</v>
      </c>
      <c r="I6" s="96">
        <f t="shared" si="3"/>
        <v>0</v>
      </c>
      <c r="J6" s="22" t="str">
        <f t="shared" ref="J6:J54" si="4">IF(COUNTIF(C6:E6,"ج")+COUNTIF(C6:E6,"د")&gt;=1,"X"," ")</f>
        <v/>
      </c>
      <c r="K6" s="104"/>
      <c r="M6" s="77" t="s">
        <v>7</v>
      </c>
      <c r="N6" s="105" t="s">
        <v>20</v>
      </c>
      <c r="S6" s="106"/>
    </row>
    <row r="7" spans="1:19" s="105" customFormat="1" ht="14.1" customHeight="1" x14ac:dyDescent="0.3">
      <c r="A7" s="110" t="str">
        <f>'بيانات التلاميذ في المادة '!A7:B7</f>
        <v>محمد عماد الدين بلمختار</v>
      </c>
      <c r="B7" s="110"/>
      <c r="C7" s="103" t="str">
        <f>'بيانات التلاميذ في المادة '!G7</f>
        <v>أ</v>
      </c>
      <c r="D7" s="103" t="str">
        <f>'بيانات التلاميذ في المادة '!H7</f>
        <v>أ</v>
      </c>
      <c r="E7" s="103" t="str">
        <f>'بيانات التلاميذ في المادة '!I7</f>
        <v>ب</v>
      </c>
      <c r="F7" s="83">
        <f t="shared" si="0"/>
        <v>2</v>
      </c>
      <c r="G7" s="85">
        <f t="shared" si="1"/>
        <v>1</v>
      </c>
      <c r="H7" s="89">
        <f t="shared" si="2"/>
        <v>0</v>
      </c>
      <c r="I7" s="96">
        <f t="shared" si="3"/>
        <v>0</v>
      </c>
      <c r="J7" s="22" t="str">
        <f t="shared" si="4"/>
        <v/>
      </c>
      <c r="K7" s="104"/>
      <c r="M7" s="77" t="s">
        <v>8</v>
      </c>
      <c r="N7" s="105" t="s">
        <v>21</v>
      </c>
      <c r="S7" s="106"/>
    </row>
    <row r="8" spans="1:19" s="105" customFormat="1" ht="14.1" customHeight="1" x14ac:dyDescent="0.3">
      <c r="A8" s="110" t="str">
        <f>'بيانات التلاميذ في المادة '!A8:B8</f>
        <v>بن علي بن زوبير</v>
      </c>
      <c r="B8" s="110"/>
      <c r="C8" s="103" t="str">
        <f>'بيانات التلاميذ في المادة '!G8</f>
        <v>ب</v>
      </c>
      <c r="D8" s="103" t="str">
        <f>'بيانات التلاميذ في المادة '!H8</f>
        <v>ب</v>
      </c>
      <c r="E8" s="103" t="str">
        <f>'بيانات التلاميذ في المادة '!I8</f>
        <v>ج</v>
      </c>
      <c r="F8" s="83">
        <f t="shared" si="0"/>
        <v>0</v>
      </c>
      <c r="G8" s="85">
        <f t="shared" si="1"/>
        <v>2</v>
      </c>
      <c r="H8" s="89">
        <f>COUNTIF(C8:E8,"ج")</f>
        <v>1</v>
      </c>
      <c r="I8" s="96">
        <f t="shared" si="3"/>
        <v>0</v>
      </c>
      <c r="J8" s="22" t="str">
        <f t="shared" si="4"/>
        <v>X</v>
      </c>
      <c r="K8" s="104"/>
      <c r="L8" s="75"/>
      <c r="M8" s="106"/>
      <c r="N8" s="106"/>
      <c r="O8" s="106"/>
      <c r="P8" s="106"/>
      <c r="Q8" s="106"/>
      <c r="R8" s="106"/>
    </row>
    <row r="9" spans="1:19" s="105" customFormat="1" ht="14.1" customHeight="1" x14ac:dyDescent="0.3">
      <c r="A9" s="110" t="str">
        <f>'بيانات التلاميذ في المادة '!A9:B9</f>
        <v>محمد إسلام بن زينب</v>
      </c>
      <c r="B9" s="110"/>
      <c r="C9" s="103" t="str">
        <f>'بيانات التلاميذ في المادة '!G9</f>
        <v>أ</v>
      </c>
      <c r="D9" s="103" t="str">
        <f>'بيانات التلاميذ في المادة '!H9</f>
        <v>أ</v>
      </c>
      <c r="E9" s="103" t="str">
        <f>'بيانات التلاميذ في المادة '!I9</f>
        <v>أ</v>
      </c>
      <c r="F9" s="83">
        <f t="shared" si="0"/>
        <v>3</v>
      </c>
      <c r="G9" s="85">
        <f t="shared" si="1"/>
        <v>0</v>
      </c>
      <c r="H9" s="89">
        <f t="shared" si="2"/>
        <v>0</v>
      </c>
      <c r="I9" s="96">
        <f t="shared" si="3"/>
        <v>0</v>
      </c>
      <c r="J9" s="22" t="str">
        <f t="shared" si="4"/>
        <v/>
      </c>
      <c r="K9" s="104"/>
    </row>
    <row r="10" spans="1:19" s="105" customFormat="1" ht="14.1" customHeight="1" x14ac:dyDescent="0.3">
      <c r="A10" s="110" t="str">
        <f>'بيانات التلاميذ في المادة '!A10:B10</f>
        <v>مارية بن طاع الله</v>
      </c>
      <c r="B10" s="110"/>
      <c r="C10" s="103" t="str">
        <f>'بيانات التلاميذ في المادة '!G10</f>
        <v>أ</v>
      </c>
      <c r="D10" s="103" t="str">
        <f>'بيانات التلاميذ في المادة '!H10</f>
        <v>أ</v>
      </c>
      <c r="E10" s="103" t="str">
        <f>'بيانات التلاميذ في المادة '!I10</f>
        <v>أ</v>
      </c>
      <c r="F10" s="83">
        <f t="shared" si="0"/>
        <v>3</v>
      </c>
      <c r="G10" s="85">
        <f t="shared" si="1"/>
        <v>0</v>
      </c>
      <c r="H10" s="89">
        <f t="shared" si="2"/>
        <v>0</v>
      </c>
      <c r="I10" s="96">
        <f t="shared" si="3"/>
        <v>0</v>
      </c>
      <c r="J10" s="22" t="str">
        <f t="shared" si="4"/>
        <v/>
      </c>
      <c r="K10" s="104"/>
    </row>
    <row r="11" spans="1:19" s="105" customFormat="1" ht="14.1" customHeight="1" x14ac:dyDescent="0.3">
      <c r="A11" s="110" t="str">
        <f>'بيانات التلاميذ في المادة '!A11:B11</f>
        <v>محمد بن طيب</v>
      </c>
      <c r="B11" s="110"/>
      <c r="C11" s="103" t="str">
        <f>'بيانات التلاميذ في المادة '!G11</f>
        <v>ج</v>
      </c>
      <c r="D11" s="103" t="str">
        <f>'بيانات التلاميذ في المادة '!H11</f>
        <v>د</v>
      </c>
      <c r="E11" s="103" t="str">
        <f>'بيانات التلاميذ في المادة '!I11</f>
        <v>د</v>
      </c>
      <c r="F11" s="83">
        <f t="shared" si="0"/>
        <v>0</v>
      </c>
      <c r="G11" s="85">
        <f t="shared" si="1"/>
        <v>0</v>
      </c>
      <c r="H11" s="89">
        <f t="shared" si="2"/>
        <v>1</v>
      </c>
      <c r="I11" s="96">
        <f t="shared" si="3"/>
        <v>2</v>
      </c>
      <c r="J11" s="22" t="str">
        <f t="shared" si="4"/>
        <v>X</v>
      </c>
      <c r="K11" s="104"/>
    </row>
    <row r="12" spans="1:19" s="105" customFormat="1" ht="14.1" customHeight="1" x14ac:dyDescent="0.3">
      <c r="A12" s="110" t="str">
        <f>'بيانات التلاميذ في المادة '!A12:B12</f>
        <v>نضال سليم بن عابد</v>
      </c>
      <c r="B12" s="110"/>
      <c r="C12" s="103" t="str">
        <f>'بيانات التلاميذ في المادة '!G12</f>
        <v>د</v>
      </c>
      <c r="D12" s="103" t="str">
        <f>'بيانات التلاميذ في المادة '!H12</f>
        <v>أ</v>
      </c>
      <c r="E12" s="103" t="str">
        <f>'بيانات التلاميذ في المادة '!I12</f>
        <v>ب</v>
      </c>
      <c r="F12" s="83">
        <f t="shared" si="0"/>
        <v>1</v>
      </c>
      <c r="G12" s="85">
        <f t="shared" si="1"/>
        <v>1</v>
      </c>
      <c r="H12" s="89">
        <f t="shared" si="2"/>
        <v>0</v>
      </c>
      <c r="I12" s="96">
        <f t="shared" si="3"/>
        <v>1</v>
      </c>
      <c r="J12" s="22" t="str">
        <f t="shared" si="4"/>
        <v>X</v>
      </c>
      <c r="K12" s="104"/>
    </row>
    <row r="13" spans="1:19" s="105" customFormat="1" ht="14.1" customHeight="1" x14ac:dyDescent="0.3">
      <c r="A13" s="110" t="str">
        <f>'بيانات التلاميذ في المادة '!A13:B13</f>
        <v>شهرزاد بوراس</v>
      </c>
      <c r="B13" s="110"/>
      <c r="C13" s="103" t="str">
        <f>'بيانات التلاميذ في المادة '!G13</f>
        <v>ب</v>
      </c>
      <c r="D13" s="103" t="str">
        <f>'بيانات التلاميذ في المادة '!H13</f>
        <v>ج</v>
      </c>
      <c r="E13" s="103" t="str">
        <f>'بيانات التلاميذ في المادة '!I13</f>
        <v>ج</v>
      </c>
      <c r="F13" s="83">
        <f t="shared" si="0"/>
        <v>0</v>
      </c>
      <c r="G13" s="85">
        <f t="shared" si="1"/>
        <v>1</v>
      </c>
      <c r="H13" s="89">
        <f t="shared" si="2"/>
        <v>2</v>
      </c>
      <c r="I13" s="96">
        <f t="shared" si="3"/>
        <v>0</v>
      </c>
      <c r="J13" s="22" t="str">
        <f t="shared" si="4"/>
        <v>X</v>
      </c>
      <c r="K13" s="104"/>
    </row>
    <row r="14" spans="1:19" s="105" customFormat="1" ht="14.1" customHeight="1" x14ac:dyDescent="0.3">
      <c r="A14" s="110" t="str">
        <f>'بيانات التلاميذ في المادة '!A14:B14</f>
        <v>فراح بوزيتونة</v>
      </c>
      <c r="B14" s="110"/>
      <c r="C14" s="103" t="str">
        <f>'بيانات التلاميذ في المادة '!G14</f>
        <v>ج</v>
      </c>
      <c r="D14" s="103" t="str">
        <f>'بيانات التلاميذ في المادة '!H14</f>
        <v>د</v>
      </c>
      <c r="E14" s="103" t="str">
        <f>'بيانات التلاميذ في المادة '!I14</f>
        <v>ج</v>
      </c>
      <c r="F14" s="83">
        <f t="shared" si="0"/>
        <v>0</v>
      </c>
      <c r="G14" s="85">
        <f t="shared" si="1"/>
        <v>0</v>
      </c>
      <c r="H14" s="89">
        <f t="shared" si="2"/>
        <v>2</v>
      </c>
      <c r="I14" s="96">
        <f t="shared" si="3"/>
        <v>1</v>
      </c>
      <c r="J14" s="22" t="str">
        <f t="shared" si="4"/>
        <v>X</v>
      </c>
      <c r="K14" s="104"/>
    </row>
    <row r="15" spans="1:19" s="105" customFormat="1" ht="14.1" customHeight="1" x14ac:dyDescent="0.3">
      <c r="A15" s="110" t="str">
        <f>'بيانات التلاميذ في المادة '!A15:B15</f>
        <v>ياسر عبد المالك بوعلام</v>
      </c>
      <c r="B15" s="110"/>
      <c r="C15" s="103" t="str">
        <f>'بيانات التلاميذ في المادة '!G15</f>
        <v>ج</v>
      </c>
      <c r="D15" s="103" t="str">
        <f>'بيانات التلاميذ في المادة '!H15</f>
        <v>ج</v>
      </c>
      <c r="E15" s="103" t="str">
        <f>'بيانات التلاميذ في المادة '!I15</f>
        <v>ج</v>
      </c>
      <c r="F15" s="83">
        <f t="shared" si="0"/>
        <v>0</v>
      </c>
      <c r="G15" s="85">
        <f t="shared" si="1"/>
        <v>0</v>
      </c>
      <c r="H15" s="89">
        <f t="shared" si="2"/>
        <v>3</v>
      </c>
      <c r="I15" s="96">
        <f t="shared" si="3"/>
        <v>0</v>
      </c>
      <c r="J15" s="22" t="str">
        <f t="shared" si="4"/>
        <v>X</v>
      </c>
      <c r="K15" s="104"/>
    </row>
    <row r="16" spans="1:19" s="105" customFormat="1" ht="14.1" customHeight="1" x14ac:dyDescent="0.3">
      <c r="A16" s="110" t="str">
        <f>'بيانات التلاميذ في المادة '!A16:B16</f>
        <v>ابراهيم الخليل بومالة</v>
      </c>
      <c r="B16" s="110"/>
      <c r="C16" s="103" t="str">
        <f>'بيانات التلاميذ في المادة '!G16</f>
        <v>ب</v>
      </c>
      <c r="D16" s="103" t="str">
        <f>'بيانات التلاميذ في المادة '!H16</f>
        <v>ب</v>
      </c>
      <c r="E16" s="103" t="str">
        <f>'بيانات التلاميذ في المادة '!I16</f>
        <v>ب</v>
      </c>
      <c r="F16" s="83">
        <f t="shared" si="0"/>
        <v>0</v>
      </c>
      <c r="G16" s="85">
        <f t="shared" si="1"/>
        <v>3</v>
      </c>
      <c r="H16" s="89">
        <f t="shared" si="2"/>
        <v>0</v>
      </c>
      <c r="I16" s="96">
        <f t="shared" si="3"/>
        <v>0</v>
      </c>
      <c r="J16" s="22" t="str">
        <f t="shared" si="4"/>
        <v/>
      </c>
      <c r="K16" s="104"/>
    </row>
    <row r="17" spans="1:11" s="105" customFormat="1" ht="14.1" customHeight="1" x14ac:dyDescent="0.3">
      <c r="A17" s="110" t="str">
        <f>'بيانات التلاميذ في المادة '!A17:B17</f>
        <v>عبد القادر بونوح</v>
      </c>
      <c r="B17" s="110"/>
      <c r="C17" s="103" t="str">
        <f>'بيانات التلاميذ في المادة '!G17</f>
        <v>ج</v>
      </c>
      <c r="D17" s="103" t="str">
        <f>'بيانات التلاميذ في المادة '!H17</f>
        <v>د</v>
      </c>
      <c r="E17" s="103" t="str">
        <f>'بيانات التلاميذ في المادة '!I17</f>
        <v>ج</v>
      </c>
      <c r="F17" s="83">
        <f t="shared" si="0"/>
        <v>0</v>
      </c>
      <c r="G17" s="85">
        <f t="shared" si="1"/>
        <v>0</v>
      </c>
      <c r="H17" s="89">
        <f t="shared" si="2"/>
        <v>2</v>
      </c>
      <c r="I17" s="96">
        <f t="shared" si="3"/>
        <v>1</v>
      </c>
      <c r="J17" s="22" t="str">
        <f t="shared" si="4"/>
        <v>X</v>
      </c>
      <c r="K17" s="104"/>
    </row>
    <row r="18" spans="1:11" s="105" customFormat="1" ht="14.1" customHeight="1" x14ac:dyDescent="0.3">
      <c r="A18" s="110" t="str">
        <f>'بيانات التلاميذ في المادة '!A18:B18</f>
        <v>أنفال تجيني</v>
      </c>
      <c r="B18" s="110"/>
      <c r="C18" s="103" t="str">
        <f>'بيانات التلاميذ في المادة '!G18</f>
        <v>أ</v>
      </c>
      <c r="D18" s="103" t="str">
        <f>'بيانات التلاميذ في المادة '!H18</f>
        <v>د</v>
      </c>
      <c r="E18" s="103" t="str">
        <f>'بيانات التلاميذ في المادة '!I18</f>
        <v>د</v>
      </c>
      <c r="F18" s="83">
        <f t="shared" si="0"/>
        <v>1</v>
      </c>
      <c r="G18" s="85">
        <f t="shared" si="1"/>
        <v>0</v>
      </c>
      <c r="H18" s="89">
        <f t="shared" si="2"/>
        <v>0</v>
      </c>
      <c r="I18" s="96">
        <f t="shared" si="3"/>
        <v>2</v>
      </c>
      <c r="J18" s="22" t="str">
        <f t="shared" si="4"/>
        <v>X</v>
      </c>
      <c r="K18" s="104"/>
    </row>
    <row r="19" spans="1:11" s="105" customFormat="1" ht="14.1" customHeight="1" x14ac:dyDescent="0.3">
      <c r="A19" s="110" t="str">
        <f>'بيانات التلاميذ في المادة '!A19:B19</f>
        <v>محمد عبد الرحمان تواتي</v>
      </c>
      <c r="B19" s="110"/>
      <c r="C19" s="103" t="str">
        <f>'بيانات التلاميذ في المادة '!G19</f>
        <v>غ</v>
      </c>
      <c r="D19" s="103" t="str">
        <f>'بيانات التلاميذ في المادة '!H19</f>
        <v>غ</v>
      </c>
      <c r="E19" s="103" t="str">
        <f>'بيانات التلاميذ في المادة '!I19</f>
        <v>غ</v>
      </c>
      <c r="F19" s="83">
        <f t="shared" si="0"/>
        <v>0</v>
      </c>
      <c r="G19" s="85">
        <f t="shared" si="1"/>
        <v>0</v>
      </c>
      <c r="H19" s="89">
        <f t="shared" si="2"/>
        <v>0</v>
      </c>
      <c r="I19" s="96">
        <f t="shared" si="3"/>
        <v>0</v>
      </c>
      <c r="J19" s="22" t="str">
        <f t="shared" si="4"/>
        <v/>
      </c>
      <c r="K19" s="104"/>
    </row>
    <row r="20" spans="1:11" s="105" customFormat="1" ht="14.1" customHeight="1" x14ac:dyDescent="0.3">
      <c r="A20" s="110" t="str">
        <f>'بيانات التلاميذ في المادة '!A20:B20</f>
        <v>أسماء جوماد</v>
      </c>
      <c r="B20" s="110"/>
      <c r="C20" s="103" t="str">
        <f>'بيانات التلاميذ في المادة '!G20</f>
        <v>أ</v>
      </c>
      <c r="D20" s="103" t="str">
        <f>'بيانات التلاميذ في المادة '!H20</f>
        <v>أ</v>
      </c>
      <c r="E20" s="103" t="str">
        <f>'بيانات التلاميذ في المادة '!I20</f>
        <v>أ</v>
      </c>
      <c r="F20" s="83">
        <f t="shared" si="0"/>
        <v>3</v>
      </c>
      <c r="G20" s="85">
        <f t="shared" si="1"/>
        <v>0</v>
      </c>
      <c r="H20" s="89">
        <f t="shared" si="2"/>
        <v>0</v>
      </c>
      <c r="I20" s="96">
        <f t="shared" si="3"/>
        <v>0</v>
      </c>
      <c r="J20" s="22" t="str">
        <f t="shared" si="4"/>
        <v/>
      </c>
      <c r="K20" s="104"/>
    </row>
    <row r="21" spans="1:11" s="105" customFormat="1" ht="14.1" customHeight="1" x14ac:dyDescent="0.3">
      <c r="A21" s="110" t="str">
        <f>'بيانات التلاميذ في المادة '!A21:B21</f>
        <v>يونس لطفي حراث</v>
      </c>
      <c r="B21" s="110"/>
      <c r="C21" s="103" t="str">
        <f>'بيانات التلاميذ في المادة '!G21</f>
        <v>ب</v>
      </c>
      <c r="D21" s="103" t="str">
        <f>'بيانات التلاميذ في المادة '!H21</f>
        <v>أ</v>
      </c>
      <c r="E21" s="103" t="str">
        <f>'بيانات التلاميذ في المادة '!I21</f>
        <v>د</v>
      </c>
      <c r="F21" s="83">
        <f t="shared" si="0"/>
        <v>1</v>
      </c>
      <c r="G21" s="85">
        <f t="shared" si="1"/>
        <v>1</v>
      </c>
      <c r="H21" s="89">
        <f t="shared" si="2"/>
        <v>0</v>
      </c>
      <c r="I21" s="96">
        <f t="shared" si="3"/>
        <v>1</v>
      </c>
      <c r="J21" s="22" t="str">
        <f t="shared" si="4"/>
        <v>X</v>
      </c>
      <c r="K21" s="104"/>
    </row>
    <row r="22" spans="1:11" s="105" customFormat="1" ht="14.1" customHeight="1" x14ac:dyDescent="0.3">
      <c r="A22" s="110" t="str">
        <f>'بيانات التلاميذ في المادة '!A22:B22</f>
        <v>فريال قطر الندى دهوي</v>
      </c>
      <c r="B22" s="110"/>
      <c r="C22" s="103" t="str">
        <f>'بيانات التلاميذ في المادة '!G22</f>
        <v>ج</v>
      </c>
      <c r="D22" s="103" t="str">
        <f>'بيانات التلاميذ في المادة '!H22</f>
        <v>ج</v>
      </c>
      <c r="E22" s="103" t="str">
        <f>'بيانات التلاميذ في المادة '!I22</f>
        <v>ج</v>
      </c>
      <c r="F22" s="83">
        <f t="shared" si="0"/>
        <v>0</v>
      </c>
      <c r="G22" s="85">
        <f t="shared" si="1"/>
        <v>0</v>
      </c>
      <c r="H22" s="89">
        <f t="shared" si="2"/>
        <v>3</v>
      </c>
      <c r="I22" s="96">
        <f t="shared" si="3"/>
        <v>0</v>
      </c>
      <c r="J22" s="22" t="str">
        <f t="shared" si="4"/>
        <v>X</v>
      </c>
      <c r="K22" s="104"/>
    </row>
    <row r="23" spans="1:11" s="105" customFormat="1" ht="14.1" customHeight="1" x14ac:dyDescent="0.3">
      <c r="A23" s="110" t="str">
        <f>'بيانات التلاميذ في المادة '!A23:B23</f>
        <v>مايا سبيحي</v>
      </c>
      <c r="B23" s="110"/>
      <c r="C23" s="103" t="str">
        <f>'بيانات التلاميذ في المادة '!G23</f>
        <v>أ</v>
      </c>
      <c r="D23" s="103" t="str">
        <f>'بيانات التلاميذ في المادة '!H23</f>
        <v>أ</v>
      </c>
      <c r="E23" s="103" t="str">
        <f>'بيانات التلاميذ في المادة '!I23</f>
        <v>أ</v>
      </c>
      <c r="F23" s="83">
        <f t="shared" si="0"/>
        <v>3</v>
      </c>
      <c r="G23" s="85">
        <f t="shared" si="1"/>
        <v>0</v>
      </c>
      <c r="H23" s="89">
        <f t="shared" si="2"/>
        <v>0</v>
      </c>
      <c r="I23" s="96">
        <f t="shared" si="3"/>
        <v>0</v>
      </c>
      <c r="J23" s="22" t="str">
        <f t="shared" si="4"/>
        <v/>
      </c>
      <c r="K23" s="104"/>
    </row>
    <row r="24" spans="1:11" s="105" customFormat="1" ht="14.1" customHeight="1" x14ac:dyDescent="0.3">
      <c r="A24" s="110" t="str">
        <f>'بيانات التلاميذ في المادة '!A24:B24</f>
        <v>مصطفى محمد سماحي</v>
      </c>
      <c r="B24" s="110"/>
      <c r="C24" s="103" t="str">
        <f>'بيانات التلاميذ في المادة '!G24</f>
        <v>د</v>
      </c>
      <c r="D24" s="103" t="str">
        <f>'بيانات التلاميذ في المادة '!H24</f>
        <v>أ</v>
      </c>
      <c r="E24" s="103" t="str">
        <f>'بيانات التلاميذ في المادة '!I24</f>
        <v>ب</v>
      </c>
      <c r="F24" s="83">
        <f t="shared" si="0"/>
        <v>1</v>
      </c>
      <c r="G24" s="85">
        <f t="shared" si="1"/>
        <v>1</v>
      </c>
      <c r="H24" s="89">
        <f t="shared" si="2"/>
        <v>0</v>
      </c>
      <c r="I24" s="96">
        <f t="shared" si="3"/>
        <v>1</v>
      </c>
      <c r="J24" s="22" t="str">
        <f t="shared" si="4"/>
        <v>X</v>
      </c>
      <c r="K24" s="104"/>
    </row>
    <row r="25" spans="1:11" s="105" customFormat="1" ht="14.1" customHeight="1" x14ac:dyDescent="0.3">
      <c r="A25" s="110" t="str">
        <f>'بيانات التلاميذ في المادة '!A25:B25</f>
        <v>محمد شريتي</v>
      </c>
      <c r="B25" s="110"/>
      <c r="C25" s="103" t="str">
        <f>'بيانات التلاميذ في المادة '!G25</f>
        <v>أ</v>
      </c>
      <c r="D25" s="103" t="str">
        <f>'بيانات التلاميذ في المادة '!H25</f>
        <v>أ</v>
      </c>
      <c r="E25" s="103" t="str">
        <f>'بيانات التلاميذ في المادة '!I25</f>
        <v>أ</v>
      </c>
      <c r="F25" s="83">
        <f t="shared" si="0"/>
        <v>3</v>
      </c>
      <c r="G25" s="85">
        <f t="shared" si="1"/>
        <v>0</v>
      </c>
      <c r="H25" s="89">
        <f t="shared" si="2"/>
        <v>0</v>
      </c>
      <c r="I25" s="96">
        <f t="shared" si="3"/>
        <v>0</v>
      </c>
      <c r="J25" s="22" t="str">
        <f t="shared" si="4"/>
        <v/>
      </c>
      <c r="K25" s="104"/>
    </row>
    <row r="26" spans="1:11" s="105" customFormat="1" ht="14.1" customHeight="1" x14ac:dyDescent="0.3">
      <c r="A26" s="110" t="str">
        <f>'بيانات التلاميذ في المادة '!A26:B26</f>
        <v>زهير شقرون</v>
      </c>
      <c r="B26" s="110"/>
      <c r="C26" s="103" t="str">
        <f>'بيانات التلاميذ في المادة '!G26</f>
        <v>د</v>
      </c>
      <c r="D26" s="103" t="str">
        <f>'بيانات التلاميذ في المادة '!H26</f>
        <v>د</v>
      </c>
      <c r="E26" s="103" t="str">
        <f>'بيانات التلاميذ في المادة '!I26</f>
        <v>د</v>
      </c>
      <c r="F26" s="83">
        <f t="shared" si="0"/>
        <v>0</v>
      </c>
      <c r="G26" s="85">
        <f t="shared" si="1"/>
        <v>0</v>
      </c>
      <c r="H26" s="89">
        <f t="shared" si="2"/>
        <v>0</v>
      </c>
      <c r="I26" s="96">
        <f t="shared" si="3"/>
        <v>3</v>
      </c>
      <c r="J26" s="22" t="str">
        <f t="shared" si="4"/>
        <v>X</v>
      </c>
      <c r="K26" s="104"/>
    </row>
    <row r="27" spans="1:11" s="105" customFormat="1" ht="14.1" customHeight="1" x14ac:dyDescent="0.3">
      <c r="A27" s="110" t="str">
        <f>'بيانات التلاميذ في المادة '!A27:B27</f>
        <v>فايزة شلابي</v>
      </c>
      <c r="B27" s="110"/>
      <c r="C27" s="103" t="str">
        <f>'بيانات التلاميذ في المادة '!G27</f>
        <v>ج</v>
      </c>
      <c r="D27" s="103" t="str">
        <f>'بيانات التلاميذ في المادة '!H27</f>
        <v>ج</v>
      </c>
      <c r="E27" s="103" t="str">
        <f>'بيانات التلاميذ في المادة '!I27</f>
        <v>ج</v>
      </c>
      <c r="F27" s="83">
        <f t="shared" si="0"/>
        <v>0</v>
      </c>
      <c r="G27" s="85">
        <f t="shared" si="1"/>
        <v>0</v>
      </c>
      <c r="H27" s="89">
        <f t="shared" si="2"/>
        <v>3</v>
      </c>
      <c r="I27" s="96">
        <f t="shared" si="3"/>
        <v>0</v>
      </c>
      <c r="J27" s="22" t="str">
        <f t="shared" si="4"/>
        <v>X</v>
      </c>
      <c r="K27" s="104"/>
    </row>
    <row r="28" spans="1:11" s="105" customFormat="1" ht="14.1" customHeight="1" x14ac:dyDescent="0.3">
      <c r="A28" s="110" t="str">
        <f>'بيانات التلاميذ في المادة '!A28:B28</f>
        <v>قمر زوبيدة عبد اللالة</v>
      </c>
      <c r="B28" s="110"/>
      <c r="C28" s="103" t="str">
        <f>'بيانات التلاميذ في المادة '!G28</f>
        <v>ب</v>
      </c>
      <c r="D28" s="103" t="str">
        <f>'بيانات التلاميذ في المادة '!H28</f>
        <v>ب</v>
      </c>
      <c r="E28" s="103" t="str">
        <f>'بيانات التلاميذ في المادة '!I28</f>
        <v>ب</v>
      </c>
      <c r="F28" s="83">
        <f t="shared" si="0"/>
        <v>0</v>
      </c>
      <c r="G28" s="85">
        <f t="shared" si="1"/>
        <v>3</v>
      </c>
      <c r="H28" s="89">
        <f t="shared" si="2"/>
        <v>0</v>
      </c>
      <c r="I28" s="96">
        <f t="shared" si="3"/>
        <v>0</v>
      </c>
      <c r="J28" s="22" t="str">
        <f t="shared" si="4"/>
        <v/>
      </c>
      <c r="K28" s="104"/>
    </row>
    <row r="29" spans="1:11" s="105" customFormat="1" ht="14.1" customHeight="1" x14ac:dyDescent="0.3">
      <c r="A29" s="110" t="str">
        <f>'بيانات التلاميذ في المادة '!A29:B29</f>
        <v>دعاء خيرة فارس</v>
      </c>
      <c r="B29" s="110"/>
      <c r="C29" s="103" t="str">
        <f>'بيانات التلاميذ في المادة '!G29</f>
        <v>ب</v>
      </c>
      <c r="D29" s="103" t="str">
        <f>'بيانات التلاميذ في المادة '!H29</f>
        <v>ب</v>
      </c>
      <c r="E29" s="103" t="str">
        <f>'بيانات التلاميذ في المادة '!I29</f>
        <v>أ</v>
      </c>
      <c r="F29" s="83">
        <f t="shared" si="0"/>
        <v>1</v>
      </c>
      <c r="G29" s="85">
        <f t="shared" si="1"/>
        <v>2</v>
      </c>
      <c r="H29" s="89">
        <f t="shared" si="2"/>
        <v>0</v>
      </c>
      <c r="I29" s="96">
        <f t="shared" si="3"/>
        <v>0</v>
      </c>
      <c r="J29" s="22" t="str">
        <f t="shared" si="4"/>
        <v/>
      </c>
      <c r="K29" s="104"/>
    </row>
    <row r="30" spans="1:11" s="105" customFormat="1" ht="14.1" customHeight="1" x14ac:dyDescent="0.3">
      <c r="A30" s="110" t="str">
        <f>'بيانات التلاميذ في المادة '!A30:B30</f>
        <v>حجلة مروة فلوحي</v>
      </c>
      <c r="B30" s="110"/>
      <c r="C30" s="103" t="str">
        <f>'بيانات التلاميذ في المادة '!G30</f>
        <v>غ</v>
      </c>
      <c r="D30" s="103" t="str">
        <f>'بيانات التلاميذ في المادة '!H30</f>
        <v>غ</v>
      </c>
      <c r="E30" s="103" t="str">
        <f>'بيانات التلاميذ في المادة '!I30</f>
        <v>غ</v>
      </c>
      <c r="F30" s="83">
        <f t="shared" si="0"/>
        <v>0</v>
      </c>
      <c r="G30" s="85">
        <f t="shared" si="1"/>
        <v>0</v>
      </c>
      <c r="H30" s="89">
        <f t="shared" si="2"/>
        <v>0</v>
      </c>
      <c r="I30" s="96">
        <f t="shared" si="3"/>
        <v>0</v>
      </c>
      <c r="J30" s="22" t="str">
        <f t="shared" si="4"/>
        <v/>
      </c>
      <c r="K30" s="104"/>
    </row>
    <row r="31" spans="1:11" s="105" customFormat="1" ht="14.1" customHeight="1" x14ac:dyDescent="0.3">
      <c r="A31" s="110" t="str">
        <f>'بيانات التلاميذ في المادة '!A31:B31</f>
        <v>مريم قبلي</v>
      </c>
      <c r="B31" s="110"/>
      <c r="C31" s="103" t="str">
        <f>'بيانات التلاميذ في المادة '!G31</f>
        <v>أ</v>
      </c>
      <c r="D31" s="103" t="str">
        <f>'بيانات التلاميذ في المادة '!H31</f>
        <v>ب</v>
      </c>
      <c r="E31" s="103" t="str">
        <f>'بيانات التلاميذ في المادة '!I31</f>
        <v>أ</v>
      </c>
      <c r="F31" s="83">
        <f t="shared" si="0"/>
        <v>2</v>
      </c>
      <c r="G31" s="85">
        <f t="shared" si="1"/>
        <v>1</v>
      </c>
      <c r="H31" s="89">
        <f t="shared" si="2"/>
        <v>0</v>
      </c>
      <c r="I31" s="96">
        <f t="shared" si="3"/>
        <v>0</v>
      </c>
      <c r="J31" s="22" t="str">
        <f t="shared" si="4"/>
        <v/>
      </c>
      <c r="K31" s="104"/>
    </row>
    <row r="32" spans="1:11" s="105" customFormat="1" ht="14.1" customHeight="1" x14ac:dyDescent="0.3">
      <c r="A32" s="110" t="str">
        <f>'بيانات التلاميذ في المادة '!A32:B32</f>
        <v>بشرى لحرش</v>
      </c>
      <c r="B32" s="110"/>
      <c r="C32" s="103" t="str">
        <f>'بيانات التلاميذ في المادة '!G32</f>
        <v>د</v>
      </c>
      <c r="D32" s="103" t="str">
        <f>'بيانات التلاميذ في المادة '!H32</f>
        <v>أ</v>
      </c>
      <c r="E32" s="103" t="str">
        <f>'بيانات التلاميذ في المادة '!I32</f>
        <v>د</v>
      </c>
      <c r="F32" s="83">
        <f t="shared" si="0"/>
        <v>1</v>
      </c>
      <c r="G32" s="85">
        <f t="shared" si="1"/>
        <v>0</v>
      </c>
      <c r="H32" s="89">
        <f t="shared" si="2"/>
        <v>0</v>
      </c>
      <c r="I32" s="96">
        <f t="shared" si="3"/>
        <v>2</v>
      </c>
      <c r="J32" s="22" t="str">
        <f t="shared" si="4"/>
        <v>X</v>
      </c>
      <c r="K32" s="104"/>
    </row>
    <row r="33" spans="1:11" s="105" customFormat="1" ht="14.1" customHeight="1" x14ac:dyDescent="0.3">
      <c r="A33" s="110" t="str">
        <f>'بيانات التلاميذ في المادة '!A33:B33</f>
        <v>انس لحمر عبو</v>
      </c>
      <c r="B33" s="110"/>
      <c r="C33" s="103" t="str">
        <f>'بيانات التلاميذ في المادة '!G33</f>
        <v>أ</v>
      </c>
      <c r="D33" s="103" t="str">
        <f>'بيانات التلاميذ في المادة '!H33</f>
        <v>أ</v>
      </c>
      <c r="E33" s="103" t="str">
        <f>'بيانات التلاميذ في المادة '!I33</f>
        <v>أ</v>
      </c>
      <c r="F33" s="83">
        <f t="shared" si="0"/>
        <v>3</v>
      </c>
      <c r="G33" s="85">
        <f t="shared" si="1"/>
        <v>0</v>
      </c>
      <c r="H33" s="89">
        <f t="shared" si="2"/>
        <v>0</v>
      </c>
      <c r="I33" s="96">
        <f t="shared" si="3"/>
        <v>0</v>
      </c>
      <c r="J33" s="22" t="str">
        <f t="shared" si="4"/>
        <v/>
      </c>
      <c r="K33" s="104"/>
    </row>
    <row r="34" spans="1:11" s="105" customFormat="1" ht="14.1" customHeight="1" x14ac:dyDescent="0.3">
      <c r="A34" s="110" t="str">
        <f>'بيانات التلاميذ في المادة '!A34:B34</f>
        <v>مريم لوني</v>
      </c>
      <c r="B34" s="110"/>
      <c r="C34" s="103" t="str">
        <f>'بيانات التلاميذ في المادة '!G34</f>
        <v>أ</v>
      </c>
      <c r="D34" s="103" t="str">
        <f>'بيانات التلاميذ في المادة '!H34</f>
        <v>أ</v>
      </c>
      <c r="E34" s="103" t="str">
        <f>'بيانات التلاميذ في المادة '!I34</f>
        <v>أ</v>
      </c>
      <c r="F34" s="83">
        <f t="shared" si="0"/>
        <v>3</v>
      </c>
      <c r="G34" s="85">
        <f t="shared" si="1"/>
        <v>0</v>
      </c>
      <c r="H34" s="89">
        <f t="shared" si="2"/>
        <v>0</v>
      </c>
      <c r="I34" s="96">
        <f t="shared" si="3"/>
        <v>0</v>
      </c>
      <c r="J34" s="22" t="str">
        <f t="shared" si="4"/>
        <v/>
      </c>
      <c r="K34" s="104"/>
    </row>
    <row r="35" spans="1:11" s="105" customFormat="1" ht="14.1" customHeight="1" x14ac:dyDescent="0.3">
      <c r="A35" s="110" t="str">
        <f>'بيانات التلاميذ في المادة '!A35:B35</f>
        <v>وليد مالك</v>
      </c>
      <c r="B35" s="110"/>
      <c r="C35" s="103" t="str">
        <f>'بيانات التلاميذ في المادة '!G35</f>
        <v>أ</v>
      </c>
      <c r="D35" s="103" t="str">
        <f>'بيانات التلاميذ في المادة '!H35</f>
        <v>أ</v>
      </c>
      <c r="E35" s="103" t="str">
        <f>'بيانات التلاميذ في المادة '!I35</f>
        <v>ب</v>
      </c>
      <c r="F35" s="83">
        <f t="shared" si="0"/>
        <v>2</v>
      </c>
      <c r="G35" s="85">
        <f t="shared" si="1"/>
        <v>1</v>
      </c>
      <c r="H35" s="89">
        <f t="shared" si="2"/>
        <v>0</v>
      </c>
      <c r="I35" s="96">
        <f t="shared" si="3"/>
        <v>0</v>
      </c>
      <c r="J35" s="22" t="str">
        <f t="shared" si="4"/>
        <v/>
      </c>
      <c r="K35" s="104"/>
    </row>
    <row r="36" spans="1:11" s="105" customFormat="1" ht="14.1" customHeight="1" x14ac:dyDescent="0.3">
      <c r="A36" s="110" t="str">
        <f>'بيانات التلاميذ في المادة '!A36:B36</f>
        <v>ايمن منور مبخوت</v>
      </c>
      <c r="B36" s="110"/>
      <c r="C36" s="103" t="str">
        <f>'بيانات التلاميذ في المادة '!G36</f>
        <v>أ</v>
      </c>
      <c r="D36" s="103" t="str">
        <f>'بيانات التلاميذ في المادة '!H36</f>
        <v>أ</v>
      </c>
      <c r="E36" s="103" t="str">
        <f>'بيانات التلاميذ في المادة '!I36</f>
        <v>أ</v>
      </c>
      <c r="F36" s="83">
        <f t="shared" si="0"/>
        <v>3</v>
      </c>
      <c r="G36" s="85">
        <f t="shared" si="1"/>
        <v>0</v>
      </c>
      <c r="H36" s="89">
        <f t="shared" si="2"/>
        <v>0</v>
      </c>
      <c r="I36" s="96">
        <f t="shared" si="3"/>
        <v>0</v>
      </c>
      <c r="J36" s="22" t="str">
        <f t="shared" si="4"/>
        <v/>
      </c>
      <c r="K36" s="104"/>
    </row>
    <row r="37" spans="1:11" s="105" customFormat="1" ht="14.1" customHeight="1" x14ac:dyDescent="0.3">
      <c r="A37" s="110" t="str">
        <f>'بيانات التلاميذ في المادة '!A37:B37</f>
        <v>اشرف مبربش</v>
      </c>
      <c r="B37" s="110"/>
      <c r="C37" s="103" t="str">
        <f>'بيانات التلاميذ في المادة '!G37</f>
        <v>غ</v>
      </c>
      <c r="D37" s="103" t="str">
        <f>'بيانات التلاميذ في المادة '!H37</f>
        <v>غ</v>
      </c>
      <c r="E37" s="103" t="str">
        <f>'بيانات التلاميذ في المادة '!I37</f>
        <v>غ</v>
      </c>
      <c r="F37" s="83">
        <f t="shared" si="0"/>
        <v>0</v>
      </c>
      <c r="G37" s="85">
        <f t="shared" si="1"/>
        <v>0</v>
      </c>
      <c r="H37" s="89">
        <f t="shared" si="2"/>
        <v>0</v>
      </c>
      <c r="I37" s="96">
        <f t="shared" si="3"/>
        <v>0</v>
      </c>
      <c r="J37" s="22" t="str">
        <f t="shared" si="4"/>
        <v/>
      </c>
      <c r="K37" s="104"/>
    </row>
    <row r="38" spans="1:11" s="105" customFormat="1" ht="14.1" customHeight="1" x14ac:dyDescent="0.3">
      <c r="A38" s="110" t="str">
        <f>'بيانات التلاميذ في المادة '!A38:B38</f>
        <v>رميساء محمدي</v>
      </c>
      <c r="B38" s="110"/>
      <c r="C38" s="103" t="str">
        <f>'بيانات التلاميذ في المادة '!G38</f>
        <v>أ</v>
      </c>
      <c r="D38" s="103" t="str">
        <f>'بيانات التلاميذ في المادة '!H38</f>
        <v>أ</v>
      </c>
      <c r="E38" s="103" t="str">
        <f>'بيانات التلاميذ في المادة '!I38</f>
        <v>أ</v>
      </c>
      <c r="F38" s="83">
        <f t="shared" si="0"/>
        <v>3</v>
      </c>
      <c r="G38" s="85">
        <f t="shared" si="1"/>
        <v>0</v>
      </c>
      <c r="H38" s="89">
        <f t="shared" si="2"/>
        <v>0</v>
      </c>
      <c r="I38" s="96">
        <f t="shared" si="3"/>
        <v>0</v>
      </c>
      <c r="J38" s="22" t="str">
        <f t="shared" si="4"/>
        <v/>
      </c>
      <c r="K38" s="104"/>
    </row>
    <row r="39" spans="1:11" s="105" customFormat="1" ht="14.1" customHeight="1" x14ac:dyDescent="0.3">
      <c r="A39" s="110" t="str">
        <f>'بيانات التلاميذ في المادة '!A39:B39</f>
        <v>إبتهال مخطار أفغول</v>
      </c>
      <c r="B39" s="110"/>
      <c r="C39" s="103" t="str">
        <f>'بيانات التلاميذ في المادة '!G39</f>
        <v>غ</v>
      </c>
      <c r="D39" s="103" t="str">
        <f>'بيانات التلاميذ في المادة '!H39</f>
        <v>غ</v>
      </c>
      <c r="E39" s="103" t="str">
        <f>'بيانات التلاميذ في المادة '!I39</f>
        <v>غ</v>
      </c>
      <c r="F39" s="83">
        <f t="shared" si="0"/>
        <v>0</v>
      </c>
      <c r="G39" s="85">
        <f t="shared" si="1"/>
        <v>0</v>
      </c>
      <c r="H39" s="89">
        <f t="shared" si="2"/>
        <v>0</v>
      </c>
      <c r="I39" s="96">
        <f t="shared" si="3"/>
        <v>0</v>
      </c>
      <c r="J39" s="22" t="str">
        <f t="shared" si="4"/>
        <v/>
      </c>
      <c r="K39" s="104"/>
    </row>
    <row r="40" spans="1:11" s="105" customFormat="1" ht="14.1" customHeight="1" x14ac:dyDescent="0.3">
      <c r="A40" s="110" t="str">
        <f>'بيانات التلاميذ في المادة '!A40:B40</f>
        <v>مروى مخفي</v>
      </c>
      <c r="B40" s="110"/>
      <c r="C40" s="103" t="str">
        <f>'بيانات التلاميذ في المادة '!G40</f>
        <v>أ</v>
      </c>
      <c r="D40" s="103" t="str">
        <f>'بيانات التلاميذ في المادة '!H40</f>
        <v>أ</v>
      </c>
      <c r="E40" s="103" t="str">
        <f>'بيانات التلاميذ في المادة '!I40</f>
        <v>أ</v>
      </c>
      <c r="F40" s="83">
        <f t="shared" si="0"/>
        <v>3</v>
      </c>
      <c r="G40" s="85">
        <f t="shared" si="1"/>
        <v>0</v>
      </c>
      <c r="H40" s="89">
        <f t="shared" si="2"/>
        <v>0</v>
      </c>
      <c r="I40" s="96">
        <f t="shared" si="3"/>
        <v>0</v>
      </c>
      <c r="J40" s="22" t="str">
        <f t="shared" si="4"/>
        <v/>
      </c>
      <c r="K40" s="104"/>
    </row>
    <row r="41" spans="1:11" s="105" customFormat="1" ht="14.1" customHeight="1" x14ac:dyDescent="0.3">
      <c r="A41" s="110" t="str">
        <f>'بيانات التلاميذ في المادة '!A41:B41</f>
        <v>شهاب عبدالإله مديوني</v>
      </c>
      <c r="B41" s="110"/>
      <c r="C41" s="103" t="str">
        <f>'بيانات التلاميذ في المادة '!G41</f>
        <v>أ</v>
      </c>
      <c r="D41" s="103" t="str">
        <f>'بيانات التلاميذ في المادة '!H41</f>
        <v>أ</v>
      </c>
      <c r="E41" s="103" t="str">
        <f>'بيانات التلاميذ في المادة '!I41</f>
        <v>أ</v>
      </c>
      <c r="F41" s="83">
        <f t="shared" si="0"/>
        <v>3</v>
      </c>
      <c r="G41" s="85">
        <f t="shared" si="1"/>
        <v>0</v>
      </c>
      <c r="H41" s="89">
        <f t="shared" si="2"/>
        <v>0</v>
      </c>
      <c r="I41" s="96">
        <f t="shared" si="3"/>
        <v>0</v>
      </c>
      <c r="J41" s="22" t="str">
        <f t="shared" si="4"/>
        <v/>
      </c>
      <c r="K41" s="104"/>
    </row>
    <row r="42" spans="1:11" s="105" customFormat="1" ht="14.1" customHeight="1" x14ac:dyDescent="0.3">
      <c r="A42" s="110" t="str">
        <f>'بيانات التلاميذ في المادة '!A42:B42</f>
        <v>عبد الرحمان مغدوري</v>
      </c>
      <c r="B42" s="110"/>
      <c r="C42" s="103" t="str">
        <f>'بيانات التلاميذ في المادة '!G42</f>
        <v>ب</v>
      </c>
      <c r="D42" s="103" t="str">
        <f>'بيانات التلاميذ في المادة '!H42</f>
        <v>ب</v>
      </c>
      <c r="E42" s="103" t="str">
        <f>'بيانات التلاميذ في المادة '!I42</f>
        <v>ب</v>
      </c>
      <c r="F42" s="83">
        <f t="shared" si="0"/>
        <v>0</v>
      </c>
      <c r="G42" s="85">
        <f t="shared" si="1"/>
        <v>3</v>
      </c>
      <c r="H42" s="89">
        <f t="shared" si="2"/>
        <v>0</v>
      </c>
      <c r="I42" s="96">
        <f t="shared" si="3"/>
        <v>0</v>
      </c>
      <c r="J42" s="22" t="str">
        <f t="shared" si="4"/>
        <v/>
      </c>
      <c r="K42" s="104"/>
    </row>
    <row r="43" spans="1:11" s="105" customFormat="1" ht="14.1" customHeight="1" x14ac:dyDescent="0.3">
      <c r="A43" s="110" t="str">
        <f>'بيانات التلاميذ في المادة '!A43:B43</f>
        <v>معاذ مقدم</v>
      </c>
      <c r="B43" s="110"/>
      <c r="C43" s="103" t="str">
        <f>'بيانات التلاميذ في المادة '!G43</f>
        <v>ج</v>
      </c>
      <c r="D43" s="103" t="str">
        <f>'بيانات التلاميذ في المادة '!H43</f>
        <v>أ</v>
      </c>
      <c r="E43" s="103" t="str">
        <f>'بيانات التلاميذ في المادة '!I43</f>
        <v>أ</v>
      </c>
      <c r="F43" s="83">
        <f t="shared" si="0"/>
        <v>2</v>
      </c>
      <c r="G43" s="85">
        <f t="shared" si="1"/>
        <v>0</v>
      </c>
      <c r="H43" s="89">
        <f t="shared" si="2"/>
        <v>1</v>
      </c>
      <c r="I43" s="96">
        <f t="shared" si="3"/>
        <v>0</v>
      </c>
      <c r="J43" s="22" t="str">
        <f t="shared" si="4"/>
        <v>X</v>
      </c>
      <c r="K43" s="104"/>
    </row>
    <row r="44" spans="1:11" s="105" customFormat="1" ht="14.1" customHeight="1" x14ac:dyDescent="0.3">
      <c r="A44" s="110">
        <f>'بيانات التلاميذ في المادة '!A44:B44</f>
        <v>0</v>
      </c>
      <c r="B44" s="110"/>
      <c r="C44" s="103" t="str">
        <f>'بيانات التلاميذ في المادة '!G44</f>
        <v>أ</v>
      </c>
      <c r="D44" s="103" t="str">
        <f>'بيانات التلاميذ في المادة '!H44</f>
        <v>ج</v>
      </c>
      <c r="E44" s="103" t="str">
        <f>'بيانات التلاميذ في المادة '!I44</f>
        <v>أ</v>
      </c>
      <c r="F44" s="83">
        <f t="shared" si="0"/>
        <v>2</v>
      </c>
      <c r="G44" s="85">
        <f t="shared" si="1"/>
        <v>0</v>
      </c>
      <c r="H44" s="89">
        <f t="shared" si="2"/>
        <v>1</v>
      </c>
      <c r="I44" s="96">
        <f t="shared" si="3"/>
        <v>0</v>
      </c>
      <c r="J44" s="22" t="str">
        <f t="shared" si="4"/>
        <v>X</v>
      </c>
      <c r="K44" s="104"/>
    </row>
    <row r="45" spans="1:11" s="105" customFormat="1" ht="14.1" customHeight="1" x14ac:dyDescent="0.3">
      <c r="A45" s="110" t="str">
        <f>'بيانات التلاميذ في المادة '!A45:B45</f>
        <v>هبة مول الخلوة</v>
      </c>
      <c r="B45" s="110"/>
      <c r="C45" s="103" t="str">
        <f>'بيانات التلاميذ في المادة '!G45</f>
        <v>د</v>
      </c>
      <c r="D45" s="103" t="str">
        <f>'بيانات التلاميذ في المادة '!H45</f>
        <v>أ</v>
      </c>
      <c r="E45" s="103" t="str">
        <f>'بيانات التلاميذ في المادة '!I45</f>
        <v>أ</v>
      </c>
      <c r="F45" s="83">
        <f t="shared" si="0"/>
        <v>2</v>
      </c>
      <c r="G45" s="85">
        <f t="shared" si="1"/>
        <v>0</v>
      </c>
      <c r="H45" s="89">
        <f t="shared" si="2"/>
        <v>0</v>
      </c>
      <c r="I45" s="96">
        <f t="shared" si="3"/>
        <v>1</v>
      </c>
      <c r="J45" s="22" t="str">
        <f t="shared" si="4"/>
        <v>X</v>
      </c>
      <c r="K45" s="104"/>
    </row>
    <row r="46" spans="1:11" s="105" customFormat="1" ht="14.1" customHeight="1" x14ac:dyDescent="0.3">
      <c r="A46" s="110" t="str">
        <f>'بيانات التلاميذ في المادة '!A46:B46</f>
        <v>سحر ميسوم</v>
      </c>
      <c r="B46" s="110"/>
      <c r="C46" s="103" t="str">
        <f>'بيانات التلاميذ في المادة '!G46</f>
        <v>ج</v>
      </c>
      <c r="D46" s="103" t="str">
        <f>'بيانات التلاميذ في المادة '!H46</f>
        <v>ج</v>
      </c>
      <c r="E46" s="103" t="str">
        <f>'بيانات التلاميذ في المادة '!I46</f>
        <v>ج</v>
      </c>
      <c r="F46" s="83">
        <f t="shared" si="0"/>
        <v>0</v>
      </c>
      <c r="G46" s="85">
        <f t="shared" si="1"/>
        <v>0</v>
      </c>
      <c r="H46" s="89">
        <f t="shared" si="2"/>
        <v>3</v>
      </c>
      <c r="I46" s="96">
        <f t="shared" si="3"/>
        <v>0</v>
      </c>
      <c r="J46" s="22" t="str">
        <f t="shared" si="4"/>
        <v>X</v>
      </c>
      <c r="K46" s="104"/>
    </row>
    <row r="47" spans="1:11" s="105" customFormat="1" ht="14.1" customHeight="1" x14ac:dyDescent="0.3">
      <c r="A47" s="110" t="str">
        <f>'بيانات التلاميذ في المادة '!A47:B47</f>
        <v>احمد وائل الحسين وراد</v>
      </c>
      <c r="B47" s="110"/>
      <c r="C47" s="103" t="str">
        <f>'بيانات التلاميذ في المادة '!G47</f>
        <v>أ</v>
      </c>
      <c r="D47" s="103" t="str">
        <f>'بيانات التلاميذ في المادة '!H47</f>
        <v>أ</v>
      </c>
      <c r="E47" s="103" t="str">
        <f>'بيانات التلاميذ في المادة '!I47</f>
        <v>أ</v>
      </c>
      <c r="F47" s="83">
        <f t="shared" si="0"/>
        <v>3</v>
      </c>
      <c r="G47" s="85">
        <f t="shared" si="1"/>
        <v>0</v>
      </c>
      <c r="H47" s="89">
        <f t="shared" si="2"/>
        <v>0</v>
      </c>
      <c r="I47" s="96">
        <f t="shared" si="3"/>
        <v>0</v>
      </c>
      <c r="J47" s="22" t="str">
        <f t="shared" si="4"/>
        <v/>
      </c>
      <c r="K47" s="104"/>
    </row>
    <row r="48" spans="1:11" s="105" customFormat="1" ht="14.1" customHeight="1" x14ac:dyDescent="0.3">
      <c r="A48" s="110" t="str">
        <f>'بيانات التلاميذ في المادة '!A48:B48</f>
        <v>سارة يحياوي</v>
      </c>
      <c r="B48" s="110"/>
      <c r="C48" s="103" t="str">
        <f>'بيانات التلاميذ في المادة '!G48</f>
        <v>أ</v>
      </c>
      <c r="D48" s="103" t="str">
        <f>'بيانات التلاميذ في المادة '!H48</f>
        <v>د</v>
      </c>
      <c r="E48" s="103" t="str">
        <f>'بيانات التلاميذ في المادة '!I48</f>
        <v>د</v>
      </c>
      <c r="F48" s="83">
        <f t="shared" si="0"/>
        <v>1</v>
      </c>
      <c r="G48" s="85">
        <f t="shared" si="1"/>
        <v>0</v>
      </c>
      <c r="H48" s="89">
        <f t="shared" si="2"/>
        <v>0</v>
      </c>
      <c r="I48" s="96">
        <f t="shared" si="3"/>
        <v>2</v>
      </c>
      <c r="J48" s="22" t="str">
        <f t="shared" si="4"/>
        <v>X</v>
      </c>
      <c r="K48" s="104"/>
    </row>
    <row r="49" spans="1:11" s="105" customFormat="1" ht="14.1" customHeight="1" x14ac:dyDescent="0.3">
      <c r="A49" s="110">
        <f>'بيانات التلاميذ في المادة '!A49:B49</f>
        <v>0</v>
      </c>
      <c r="B49" s="110"/>
      <c r="C49" s="103">
        <f>'بيانات التلاميذ في المادة '!G49</f>
        <v>0</v>
      </c>
      <c r="D49" s="103">
        <f>'بيانات التلاميذ في المادة '!H49</f>
        <v>0</v>
      </c>
      <c r="E49" s="103">
        <f>'بيانات التلاميذ في المادة '!I49</f>
        <v>0</v>
      </c>
      <c r="F49" s="83">
        <f t="shared" si="0"/>
        <v>0</v>
      </c>
      <c r="G49" s="85">
        <f t="shared" si="1"/>
        <v>0</v>
      </c>
      <c r="H49" s="89">
        <f t="shared" si="2"/>
        <v>0</v>
      </c>
      <c r="I49" s="96">
        <f t="shared" si="3"/>
        <v>0</v>
      </c>
      <c r="J49" s="22" t="str">
        <f t="shared" si="4"/>
        <v/>
      </c>
      <c r="K49" s="104"/>
    </row>
    <row r="50" spans="1:11" s="105" customFormat="1" ht="14.1" customHeight="1" x14ac:dyDescent="0.3">
      <c r="A50" s="110">
        <f>'بيانات التلاميذ في المادة '!A50:B50</f>
        <v>0</v>
      </c>
      <c r="B50" s="110"/>
      <c r="C50" s="103">
        <f>'بيانات التلاميذ في المادة '!G50</f>
        <v>0</v>
      </c>
      <c r="D50" s="103">
        <f>'بيانات التلاميذ في المادة '!H50</f>
        <v>0</v>
      </c>
      <c r="E50" s="103">
        <f>'بيانات التلاميذ في المادة '!I50</f>
        <v>0</v>
      </c>
      <c r="F50" s="83">
        <f t="shared" si="0"/>
        <v>0</v>
      </c>
      <c r="G50" s="85">
        <f t="shared" si="1"/>
        <v>0</v>
      </c>
      <c r="H50" s="89">
        <f t="shared" si="2"/>
        <v>0</v>
      </c>
      <c r="I50" s="96">
        <f t="shared" si="3"/>
        <v>0</v>
      </c>
      <c r="J50" s="22" t="str">
        <f t="shared" si="4"/>
        <v/>
      </c>
      <c r="K50" s="104"/>
    </row>
    <row r="51" spans="1:11" s="105" customFormat="1" ht="14.1" customHeight="1" x14ac:dyDescent="0.3">
      <c r="A51" s="110">
        <f>'بيانات التلاميذ في المادة '!A51:B51</f>
        <v>0</v>
      </c>
      <c r="B51" s="110"/>
      <c r="C51" s="103">
        <f>'بيانات التلاميذ في المادة '!G51</f>
        <v>0</v>
      </c>
      <c r="D51" s="103">
        <f>'بيانات التلاميذ في المادة '!H51</f>
        <v>0</v>
      </c>
      <c r="E51" s="103">
        <f>'بيانات التلاميذ في المادة '!I51</f>
        <v>0</v>
      </c>
      <c r="F51" s="83">
        <f t="shared" si="0"/>
        <v>0</v>
      </c>
      <c r="G51" s="85">
        <f t="shared" si="1"/>
        <v>0</v>
      </c>
      <c r="H51" s="89">
        <f t="shared" si="2"/>
        <v>0</v>
      </c>
      <c r="I51" s="96">
        <f t="shared" si="3"/>
        <v>0</v>
      </c>
      <c r="J51" s="22" t="str">
        <f t="shared" si="4"/>
        <v/>
      </c>
      <c r="K51" s="104"/>
    </row>
    <row r="52" spans="1:11" s="105" customFormat="1" ht="14.1" customHeight="1" x14ac:dyDescent="0.3">
      <c r="A52" s="110">
        <f>'بيانات التلاميذ في المادة '!A52:B52</f>
        <v>0</v>
      </c>
      <c r="B52" s="110"/>
      <c r="C52" s="103">
        <f>'بيانات التلاميذ في المادة '!G52</f>
        <v>0</v>
      </c>
      <c r="D52" s="103">
        <f>'بيانات التلاميذ في المادة '!H52</f>
        <v>0</v>
      </c>
      <c r="E52" s="103">
        <f>'بيانات التلاميذ في المادة '!I52</f>
        <v>0</v>
      </c>
      <c r="F52" s="83">
        <f t="shared" si="0"/>
        <v>0</v>
      </c>
      <c r="G52" s="85">
        <f t="shared" si="1"/>
        <v>0</v>
      </c>
      <c r="H52" s="89">
        <f t="shared" si="2"/>
        <v>0</v>
      </c>
      <c r="I52" s="96">
        <f t="shared" si="3"/>
        <v>0</v>
      </c>
      <c r="J52" s="22" t="str">
        <f t="shared" si="4"/>
        <v/>
      </c>
      <c r="K52" s="104"/>
    </row>
    <row r="53" spans="1:11" s="105" customFormat="1" ht="14.1" customHeight="1" x14ac:dyDescent="0.3">
      <c r="A53" s="110">
        <f>'بيانات التلاميذ في المادة '!A53:B53</f>
        <v>0</v>
      </c>
      <c r="B53" s="110"/>
      <c r="C53" s="103">
        <f>'بيانات التلاميذ في المادة '!G53</f>
        <v>0</v>
      </c>
      <c r="D53" s="103">
        <f>'بيانات التلاميذ في المادة '!H53</f>
        <v>0</v>
      </c>
      <c r="E53" s="103">
        <f>'بيانات التلاميذ في المادة '!I53</f>
        <v>0</v>
      </c>
      <c r="F53" s="83">
        <f t="shared" si="0"/>
        <v>0</v>
      </c>
      <c r="G53" s="85">
        <f t="shared" si="1"/>
        <v>0</v>
      </c>
      <c r="H53" s="89">
        <f t="shared" si="2"/>
        <v>0</v>
      </c>
      <c r="I53" s="96">
        <f t="shared" si="3"/>
        <v>0</v>
      </c>
      <c r="J53" s="22" t="str">
        <f t="shared" si="4"/>
        <v/>
      </c>
      <c r="K53" s="104"/>
    </row>
    <row r="54" spans="1:11" s="105" customFormat="1" ht="14.1" customHeight="1" x14ac:dyDescent="0.3">
      <c r="A54" s="110">
        <f>'بيانات التلاميذ في المادة '!A54:B54</f>
        <v>0</v>
      </c>
      <c r="B54" s="110"/>
      <c r="C54" s="103">
        <f>'بيانات التلاميذ في المادة '!G54</f>
        <v>0</v>
      </c>
      <c r="D54" s="103">
        <f>'بيانات التلاميذ في المادة '!H54</f>
        <v>0</v>
      </c>
      <c r="E54" s="103">
        <f>'بيانات التلاميذ في المادة '!I54</f>
        <v>0</v>
      </c>
      <c r="F54" s="83">
        <f t="shared" si="0"/>
        <v>0</v>
      </c>
      <c r="G54" s="85">
        <f t="shared" si="1"/>
        <v>0</v>
      </c>
      <c r="H54" s="89">
        <f t="shared" si="2"/>
        <v>0</v>
      </c>
      <c r="I54" s="96">
        <f t="shared" si="3"/>
        <v>0</v>
      </c>
      <c r="J54" s="22" t="str">
        <f t="shared" si="4"/>
        <v/>
      </c>
      <c r="K54" s="104"/>
    </row>
    <row r="55" spans="1:11" s="1" customFormat="1" ht="21.95" customHeight="1" x14ac:dyDescent="0.35">
      <c r="A55" s="111" t="s">
        <v>0</v>
      </c>
      <c r="B55" s="112"/>
      <c r="C55" s="15">
        <f>COUNTIF(C5:C54,"أ")</f>
        <v>18</v>
      </c>
      <c r="D55" s="15">
        <f t="shared" ref="D55:E55" si="5">COUNTIF(D5:D54,"أ")</f>
        <v>20</v>
      </c>
      <c r="E55" s="15">
        <f t="shared" si="5"/>
        <v>17</v>
      </c>
      <c r="F55" s="84">
        <f>SUM(F5:F54)</f>
        <v>55</v>
      </c>
      <c r="G55" s="86"/>
      <c r="H55" s="90"/>
      <c r="I55" s="97"/>
      <c r="J55" s="19">
        <f>COUNTIF(J5:J54,"X")</f>
        <v>20</v>
      </c>
    </row>
    <row r="56" spans="1:11" s="1" customFormat="1" ht="21.95" customHeight="1" x14ac:dyDescent="0.25">
      <c r="A56" s="113" t="s">
        <v>1</v>
      </c>
      <c r="B56" s="114"/>
      <c r="C56" s="16">
        <f t="shared" ref="C56:E56" si="6">COUNTIF(C5:C54,"ب")</f>
        <v>8</v>
      </c>
      <c r="D56" s="16">
        <f t="shared" si="6"/>
        <v>7</v>
      </c>
      <c r="E56" s="16">
        <f t="shared" si="6"/>
        <v>8</v>
      </c>
      <c r="F56" s="88"/>
      <c r="G56" s="87">
        <f>SUM(G6:G55)</f>
        <v>23</v>
      </c>
      <c r="H56" s="91"/>
      <c r="I56" s="97"/>
      <c r="J56" s="6"/>
    </row>
    <row r="57" spans="1:11" s="1" customFormat="1" ht="21.95" customHeight="1" x14ac:dyDescent="0.25">
      <c r="A57" s="113" t="s">
        <v>2</v>
      </c>
      <c r="B57" s="114"/>
      <c r="C57" s="17">
        <f t="shared" ref="C57:E57" si="7">COUNTIF(C5:C54,"ج")</f>
        <v>8</v>
      </c>
      <c r="D57" s="17">
        <f t="shared" si="7"/>
        <v>6</v>
      </c>
      <c r="E57" s="17">
        <f t="shared" si="7"/>
        <v>8</v>
      </c>
      <c r="F57" s="92"/>
      <c r="G57" s="93"/>
      <c r="H57" s="17">
        <f>SUM(H7:H56)</f>
        <v>22</v>
      </c>
      <c r="I57" s="98"/>
      <c r="J57" s="6"/>
    </row>
    <row r="58" spans="1:11" s="1" customFormat="1" ht="21.95" customHeight="1" x14ac:dyDescent="0.25">
      <c r="A58" s="113" t="s">
        <v>3</v>
      </c>
      <c r="B58" s="114"/>
      <c r="C58" s="18">
        <f t="shared" ref="C58:E58" si="8">COUNTIF(C5:C54,"د")</f>
        <v>6</v>
      </c>
      <c r="D58" s="18">
        <f t="shared" si="8"/>
        <v>7</v>
      </c>
      <c r="E58" s="18">
        <f t="shared" si="8"/>
        <v>7</v>
      </c>
      <c r="F58" s="94"/>
      <c r="G58" s="94"/>
      <c r="H58" s="95"/>
      <c r="I58" s="18">
        <f>SUM(I8:I57)</f>
        <v>17</v>
      </c>
      <c r="J58" s="6"/>
    </row>
    <row r="59" spans="1:11" ht="21.95" customHeight="1" x14ac:dyDescent="0.25">
      <c r="A59" s="109" t="s">
        <v>44</v>
      </c>
      <c r="B59" s="109"/>
      <c r="C59" s="62">
        <f>COUNTIF(C5:C54,"غ")</f>
        <v>4</v>
      </c>
      <c r="D59" s="62">
        <f t="shared" ref="D59:E59" si="9">COUNTIF(D5:D54,"غ")</f>
        <v>4</v>
      </c>
      <c r="E59" s="62">
        <f t="shared" si="9"/>
        <v>4</v>
      </c>
    </row>
  </sheetData>
  <sheetProtection algorithmName="SHA-512" hashValue="Dd4hCsj8UukwUVUUmeKEjTz9exIfxcN/pu6Ad0YG8/mt/XUR7ocyu06S0JduM8BDmytxV6tkJKrrS/niJQ8Kig==" saltValue="dPYDSqxdinABUTwYW2m1FQ==" spinCount="100000" sheet="1" objects="1" scenarios="1"/>
  <mergeCells count="61">
    <mergeCell ref="B1:I1"/>
    <mergeCell ref="B2:I2"/>
    <mergeCell ref="A3:B3"/>
    <mergeCell ref="C3:E3"/>
    <mergeCell ref="F3:I3"/>
    <mergeCell ref="A14:B14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38:B38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54:B54"/>
    <mergeCell ref="A48:B48"/>
    <mergeCell ref="A27:B27"/>
    <mergeCell ref="A28:B28"/>
    <mergeCell ref="A29:B29"/>
    <mergeCell ref="A30:B30"/>
    <mergeCell ref="A31:B31"/>
    <mergeCell ref="A32:B32"/>
    <mergeCell ref="A33:B33"/>
    <mergeCell ref="A34:B34"/>
    <mergeCell ref="A45:B45"/>
    <mergeCell ref="A46:B46"/>
    <mergeCell ref="A47:B47"/>
    <mergeCell ref="A35:B35"/>
    <mergeCell ref="A36:B36"/>
    <mergeCell ref="A37:B37"/>
    <mergeCell ref="A59:B59"/>
    <mergeCell ref="A44:B44"/>
    <mergeCell ref="A39:B39"/>
    <mergeCell ref="A40:B40"/>
    <mergeCell ref="A41:B41"/>
    <mergeCell ref="A42:B42"/>
    <mergeCell ref="A43:B43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</mergeCells>
  <conditionalFormatting sqref="A55 C5:E54">
    <cfRule type="containsText" dxfId="75" priority="37" operator="containsText" text="د">
      <formula>NOT(ISERROR(SEARCH("د",A5)))</formula>
    </cfRule>
    <cfRule type="containsText" dxfId="74" priority="38" operator="containsText" text="ج">
      <formula>NOT(ISERROR(SEARCH("ج",A5)))</formula>
    </cfRule>
    <cfRule type="containsText" dxfId="73" priority="39" operator="containsText" text="ب">
      <formula>NOT(ISERROR(SEARCH("ب",A5)))</formula>
    </cfRule>
    <cfRule type="containsText" dxfId="72" priority="40" operator="containsText" text="أ">
      <formula>NOT(ISERROR(SEARCH("أ",A5)))</formula>
    </cfRule>
  </conditionalFormatting>
  <conditionalFormatting sqref="A56">
    <cfRule type="containsText" dxfId="71" priority="33" operator="containsText" text="د">
      <formula>NOT(ISERROR(SEARCH("د",A56)))</formula>
    </cfRule>
    <cfRule type="containsText" dxfId="70" priority="34" operator="containsText" text="ج">
      <formula>NOT(ISERROR(SEARCH("ج",A56)))</formula>
    </cfRule>
    <cfRule type="containsText" dxfId="69" priority="35" operator="containsText" text="ب">
      <formula>NOT(ISERROR(SEARCH("ب",A56)))</formula>
    </cfRule>
    <cfRule type="containsText" dxfId="68" priority="36" operator="containsText" text="أ">
      <formula>NOT(ISERROR(SEARCH("أ",A56)))</formula>
    </cfRule>
  </conditionalFormatting>
  <conditionalFormatting sqref="A57">
    <cfRule type="containsText" dxfId="67" priority="29" operator="containsText" text="د">
      <formula>NOT(ISERROR(SEARCH("د",A57)))</formula>
    </cfRule>
    <cfRule type="containsText" dxfId="66" priority="30" operator="containsText" text="ج">
      <formula>NOT(ISERROR(SEARCH("ج",A57)))</formula>
    </cfRule>
    <cfRule type="containsText" dxfId="65" priority="31" operator="containsText" text="ب">
      <formula>NOT(ISERROR(SEARCH("ب",A57)))</formula>
    </cfRule>
    <cfRule type="containsText" dxfId="64" priority="32" operator="containsText" text="أ">
      <formula>NOT(ISERROR(SEARCH("أ",A57)))</formula>
    </cfRule>
  </conditionalFormatting>
  <conditionalFormatting sqref="A58">
    <cfRule type="containsText" dxfId="63" priority="25" operator="containsText" text="د">
      <formula>NOT(ISERROR(SEARCH("د",A58)))</formula>
    </cfRule>
    <cfRule type="containsText" dxfId="62" priority="26" operator="containsText" text="ج">
      <formula>NOT(ISERROR(SEARCH("ج",A58)))</formula>
    </cfRule>
    <cfRule type="containsText" dxfId="61" priority="27" operator="containsText" text="ب">
      <formula>NOT(ISERROR(SEARCH("ب",A58)))</formula>
    </cfRule>
    <cfRule type="containsText" dxfId="60" priority="28" operator="containsText" text="أ">
      <formula>NOT(ISERROR(SEARCH("أ",A58)))</formula>
    </cfRule>
  </conditionalFormatting>
  <conditionalFormatting sqref="F4">
    <cfRule type="containsText" dxfId="59" priority="13" operator="containsText" text="د">
      <formula>NOT(ISERROR(SEARCH("د",F4)))</formula>
    </cfRule>
    <cfRule type="containsText" dxfId="58" priority="14" operator="containsText" text="ج">
      <formula>NOT(ISERROR(SEARCH("ج",F4)))</formula>
    </cfRule>
    <cfRule type="containsText" dxfId="57" priority="15" operator="containsText" text="ب">
      <formula>NOT(ISERROR(SEARCH("ب",F4)))</formula>
    </cfRule>
    <cfRule type="containsText" dxfId="56" priority="16" operator="containsText" text="أ">
      <formula>NOT(ISERROR(SEARCH("أ",F4)))</formula>
    </cfRule>
  </conditionalFormatting>
  <conditionalFormatting sqref="G4">
    <cfRule type="containsText" dxfId="55" priority="9" operator="containsText" text="د">
      <formula>NOT(ISERROR(SEARCH("د",G4)))</formula>
    </cfRule>
    <cfRule type="containsText" dxfId="54" priority="10" operator="containsText" text="ج">
      <formula>NOT(ISERROR(SEARCH("ج",G4)))</formula>
    </cfRule>
    <cfRule type="containsText" dxfId="53" priority="11" operator="containsText" text="ب">
      <formula>NOT(ISERROR(SEARCH("ب",G4)))</formula>
    </cfRule>
    <cfRule type="containsText" dxfId="52" priority="12" operator="containsText" text="أ">
      <formula>NOT(ISERROR(SEARCH("أ",G4)))</formula>
    </cfRule>
  </conditionalFormatting>
  <conditionalFormatting sqref="H4">
    <cfRule type="containsText" dxfId="51" priority="5" operator="containsText" text="د">
      <formula>NOT(ISERROR(SEARCH("د",H4)))</formula>
    </cfRule>
    <cfRule type="containsText" dxfId="50" priority="6" operator="containsText" text="ج">
      <formula>NOT(ISERROR(SEARCH("ج",H4)))</formula>
    </cfRule>
    <cfRule type="containsText" dxfId="49" priority="7" operator="containsText" text="ب">
      <formula>NOT(ISERROR(SEARCH("ب",H4)))</formula>
    </cfRule>
    <cfRule type="containsText" dxfId="48" priority="8" operator="containsText" text="أ">
      <formula>NOT(ISERROR(SEARCH("أ",H4)))</formula>
    </cfRule>
  </conditionalFormatting>
  <conditionalFormatting sqref="I4">
    <cfRule type="containsText" dxfId="47" priority="1" operator="containsText" text="د">
      <formula>NOT(ISERROR(SEARCH("د",I4)))</formula>
    </cfRule>
    <cfRule type="containsText" dxfId="46" priority="2" operator="containsText" text="ج">
      <formula>NOT(ISERROR(SEARCH("ج",I4)))</formula>
    </cfRule>
    <cfRule type="containsText" dxfId="45" priority="3" operator="containsText" text="ب">
      <formula>NOT(ISERROR(SEARCH("ب",I4)))</formula>
    </cfRule>
    <cfRule type="containsText" dxfId="44" priority="4" operator="containsText" text="أ">
      <formula>NOT(ISERROR(SEARCH("أ",I4)))</formula>
    </cfRule>
  </conditionalFormatting>
  <dataValidations count="2">
    <dataValidation operator="equal" allowBlank="1" showInputMessage="1" showErrorMessage="1" sqref="L4" xr:uid="{7C805939-BB0D-469E-9F77-5B1466EB697F}"/>
    <dataValidation type="list" allowBlank="1" showInputMessage="1" showErrorMessage="1" sqref="C5:E54" xr:uid="{398861A0-CB61-494E-9BA2-856187F573EC}">
      <formula1>$F$4:$I$4</formula1>
    </dataValidation>
  </dataValidations>
  <printOptions horizontalCentered="1"/>
  <pageMargins left="0" right="0" top="0.19685039370078741" bottom="0" header="0" footer="0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952E-E28C-455F-9EB0-718BAFFF3526}">
  <sheetPr codeName="Feuil1"/>
  <dimension ref="A1:U54"/>
  <sheetViews>
    <sheetView rightToLeft="1" topLeftCell="A19" zoomScaleNormal="100" workbookViewId="0">
      <selection activeCell="A6" sqref="A6:E6"/>
    </sheetView>
  </sheetViews>
  <sheetFormatPr baseColWidth="10" defaultRowHeight="15" x14ac:dyDescent="0.25"/>
  <cols>
    <col min="1" max="1" width="10.7109375" style="10" customWidth="1"/>
    <col min="2" max="5" width="20.7109375" style="10" customWidth="1"/>
    <col min="6" max="6" width="11.42578125" style="10" hidden="1" customWidth="1"/>
    <col min="7" max="10" width="12.7109375" style="10" hidden="1" customWidth="1"/>
    <col min="11" max="11" width="11.42578125" style="10" hidden="1" customWidth="1"/>
    <col min="12" max="12" width="11.42578125" style="45" hidden="1" customWidth="1"/>
    <col min="13" max="13" width="11.42578125" style="10" hidden="1" customWidth="1"/>
    <col min="14" max="16384" width="11.42578125" style="10"/>
  </cols>
  <sheetData>
    <row r="1" spans="1:21" x14ac:dyDescent="0.25">
      <c r="A1" s="33"/>
      <c r="B1" s="34"/>
      <c r="C1" s="34"/>
      <c r="D1" s="34"/>
      <c r="E1" s="35"/>
      <c r="O1" s="117"/>
      <c r="P1" s="117"/>
      <c r="Q1" s="117"/>
      <c r="R1" s="117"/>
      <c r="S1" s="117"/>
      <c r="T1" s="117"/>
      <c r="U1" s="117"/>
    </row>
    <row r="2" spans="1:21" ht="24.75" customHeight="1" x14ac:dyDescent="0.25">
      <c r="A2" s="120" t="s">
        <v>22</v>
      </c>
      <c r="B2" s="121"/>
      <c r="C2" s="121"/>
      <c r="D2" s="121"/>
      <c r="E2" s="122"/>
      <c r="I2" s="12"/>
      <c r="J2" s="12"/>
      <c r="K2" s="45"/>
    </row>
    <row r="3" spans="1:21" ht="21.75" customHeight="1" x14ac:dyDescent="0.25">
      <c r="A3" s="127" t="s">
        <v>37</v>
      </c>
      <c r="B3" s="123"/>
      <c r="C3" s="70"/>
      <c r="D3" s="121" t="s">
        <v>39</v>
      </c>
      <c r="E3" s="122"/>
      <c r="F3" s="11"/>
      <c r="G3" s="12"/>
      <c r="H3" s="12"/>
      <c r="I3" s="12"/>
      <c r="J3" s="12"/>
      <c r="K3" s="45"/>
      <c r="M3" s="45"/>
    </row>
    <row r="4" spans="1:21" ht="21.75" customHeight="1" x14ac:dyDescent="0.25">
      <c r="A4" s="127" t="s">
        <v>38</v>
      </c>
      <c r="B4" s="123"/>
      <c r="C4" s="69"/>
      <c r="D4" s="123" t="s">
        <v>24</v>
      </c>
      <c r="E4" s="124"/>
      <c r="H4" s="118"/>
      <c r="I4" s="118"/>
      <c r="M4" s="45"/>
    </row>
    <row r="5" spans="1:21" ht="27" customHeight="1" x14ac:dyDescent="0.25">
      <c r="A5" s="127" t="s">
        <v>45</v>
      </c>
      <c r="B5" s="123"/>
      <c r="C5" s="70" t="str">
        <f>COUNTA('بيانات التلاميذ في المادة '!$G$5:$G$54)&amp;"  "&amp;"تلميذ(ة)"</f>
        <v>44  تلميذ(ة)</v>
      </c>
      <c r="D5" s="125" t="s">
        <v>23</v>
      </c>
      <c r="E5" s="126"/>
      <c r="M5" s="45"/>
    </row>
    <row r="6" spans="1:21" ht="28.5" customHeight="1" x14ac:dyDescent="0.25">
      <c r="A6" s="135" t="s">
        <v>34</v>
      </c>
      <c r="B6" s="136"/>
      <c r="C6" s="136"/>
      <c r="D6" s="136"/>
      <c r="E6" s="137"/>
      <c r="F6" s="119" t="s">
        <v>25</v>
      </c>
      <c r="G6" s="119"/>
      <c r="H6" s="119" t="s">
        <v>26</v>
      </c>
      <c r="I6" s="119"/>
      <c r="J6" s="119" t="s">
        <v>32</v>
      </c>
      <c r="K6" s="119"/>
      <c r="L6" s="119" t="s">
        <v>33</v>
      </c>
      <c r="M6" s="119"/>
    </row>
    <row r="7" spans="1:21" ht="15" customHeight="1" x14ac:dyDescent="0.25">
      <c r="A7" s="128"/>
      <c r="B7" s="129"/>
      <c r="C7" s="129"/>
      <c r="D7" s="129"/>
      <c r="E7" s="130"/>
      <c r="F7" s="45">
        <f>IF(OR('بيانات التلاميذ في المادة '!C5="ج",'بيانات التلاميذ في المادة '!C5=("د")),ROW()-2,"")</f>
        <v>5</v>
      </c>
      <c r="G7" s="45">
        <f>IFERROR(SMALL($F$7:$F$54,ROW()-6),"")</f>
        <v>5</v>
      </c>
      <c r="H7" s="45">
        <f>IF(OR('بيانات التلاميذ في المادة '!D5="ج",'بيانات التلاميذ في المادة '!D5=("د")),ROW()-2,"")</f>
        <v>5</v>
      </c>
      <c r="I7" s="45">
        <f>IFERROR(SMALL($H$7:$H$54,ROW()-6),"")</f>
        <v>5</v>
      </c>
      <c r="J7" s="10">
        <f>IF(OR('بيانات التلاميذ في المادة '!E5="ج",'بيانات التلاميذ في المادة '!E5=("د")),ROW()-2,"")</f>
        <v>5</v>
      </c>
      <c r="K7" s="10">
        <f>IFERROR(SMALL($J$7:$J$54,ROW()-6),"")</f>
        <v>5</v>
      </c>
      <c r="L7" s="10">
        <f>IF(OR('بيانات التلاميذ في المادة '!F5="ج",'بيانات التلاميذ في المادة '!F5=("د")),ROW()-2,"")</f>
        <v>5</v>
      </c>
      <c r="M7" s="10">
        <f>IFERROR(SMALL($L$7:$L$54,ROW()-6),"")</f>
        <v>5</v>
      </c>
      <c r="N7" s="45"/>
    </row>
    <row r="8" spans="1:21" ht="18" customHeight="1" x14ac:dyDescent="0.25">
      <c r="A8" s="14"/>
      <c r="B8" s="79" t="str">
        <f>COUNTA(B11:B45)-COUNTBLANK(B11:B45)&amp;"  "&amp;"تلميذ(ة)"</f>
        <v>10  تلميذ(ة)</v>
      </c>
      <c r="C8" s="79" t="str">
        <f>COUNTA(C11:C45)-COUNTBLANK(C11:C45)&amp;"  "&amp;"تلميذ(ة)"</f>
        <v>12  تلميذ(ة)</v>
      </c>
      <c r="D8" s="80" t="str">
        <f t="shared" ref="D8:E8" si="0">COUNTA(D11:D45)-COUNTBLANK(D11:D45)&amp;"  "&amp;"تلميذ(ة)"</f>
        <v>8  تلميذ(ة)</v>
      </c>
      <c r="E8" s="82" t="str">
        <f t="shared" si="0"/>
        <v>10  تلميذ(ة)</v>
      </c>
      <c r="F8" s="45" t="str">
        <f>IF(OR('بيانات التلاميذ في المادة '!C6="ج",'بيانات التلاميذ في المادة '!C6=("د")),ROW()-2,"")</f>
        <v/>
      </c>
      <c r="G8" s="45">
        <f t="shared" ref="G8:G54" si="1">IFERROR(SMALL($F$7:$F$54,ROW()-6),"")</f>
        <v>11</v>
      </c>
      <c r="H8" s="45">
        <f>IF(OR('بيانات التلاميذ في المادة '!D6="ج",'بيانات التلاميذ في المادة '!D6=("د")),ROW()-2,"")</f>
        <v>6</v>
      </c>
      <c r="I8" s="45">
        <f t="shared" ref="I8:I54" si="2">IFERROR(SMALL($H$7:$H$54,ROW()-6),"")</f>
        <v>6</v>
      </c>
      <c r="J8" s="10">
        <f>IF(OR('بيانات التلاميذ في المادة '!E6="ج",'بيانات التلاميذ في المادة '!E6=("د")),ROW()-2,"")</f>
        <v>6</v>
      </c>
      <c r="K8" s="10">
        <f t="shared" ref="K8:K54" si="3">IFERROR(SMALL($J$7:$J$54,ROW()-6),"")</f>
        <v>6</v>
      </c>
      <c r="L8" s="10">
        <f>IF(OR('بيانات التلاميذ في المادة '!F6="ج",'بيانات التلاميذ في المادة '!F6=("د")),ROW()-2,"")</f>
        <v>6</v>
      </c>
      <c r="M8" s="10">
        <f t="shared" ref="M8:M54" si="4">IFERROR(SMALL($L$7:$L$54,ROW()-6),"")</f>
        <v>6</v>
      </c>
    </row>
    <row r="9" spans="1:21" x14ac:dyDescent="0.25">
      <c r="A9" s="138" t="s">
        <v>27</v>
      </c>
      <c r="B9" s="140" t="s">
        <v>28</v>
      </c>
      <c r="C9" s="140" t="s">
        <v>29</v>
      </c>
      <c r="D9" s="131" t="s">
        <v>30</v>
      </c>
      <c r="E9" s="133" t="s">
        <v>31</v>
      </c>
      <c r="F9" s="45" t="str">
        <f>IF(OR('بيانات التلاميذ في المادة '!C7="ج",'بيانات التلاميذ في المادة '!C7=("د")),ROW()-2,"")</f>
        <v/>
      </c>
      <c r="G9" s="45">
        <f t="shared" si="1"/>
        <v>12</v>
      </c>
      <c r="H9" s="45" t="str">
        <f>IF(OR('بيانات التلاميذ في المادة '!D7="ج",'بيانات التلاميذ في المادة '!D7=("د")),ROW()-2,"")</f>
        <v/>
      </c>
      <c r="I9" s="45">
        <f t="shared" si="2"/>
        <v>11</v>
      </c>
      <c r="J9" s="10" t="str">
        <f>IF(OR('بيانات التلاميذ في المادة '!E7="ج",'بيانات التلاميذ في المادة '!E7=("د")),ROW()-2,"")</f>
        <v/>
      </c>
      <c r="K9" s="10">
        <f t="shared" si="3"/>
        <v>11</v>
      </c>
      <c r="L9" s="10" t="str">
        <f>IF(OR('بيانات التلاميذ في المادة '!F7="ج",'بيانات التلاميذ في المادة '!F7=("د")),ROW()-2,"")</f>
        <v/>
      </c>
      <c r="M9" s="10">
        <f t="shared" si="4"/>
        <v>11</v>
      </c>
    </row>
    <row r="10" spans="1:21" x14ac:dyDescent="0.25">
      <c r="A10" s="139"/>
      <c r="B10" s="141"/>
      <c r="C10" s="141"/>
      <c r="D10" s="132"/>
      <c r="E10" s="134"/>
      <c r="F10" s="45" t="str">
        <f>IF(OR('بيانات التلاميذ في المادة '!C8="ج",'بيانات التلاميذ في المادة '!C8=("د")),ROW()-2,"")</f>
        <v/>
      </c>
      <c r="G10" s="45">
        <f t="shared" si="1"/>
        <v>13</v>
      </c>
      <c r="H10" s="45" t="str">
        <f>IF(OR('بيانات التلاميذ في المادة '!D8="ج",'بيانات التلاميذ في المادة '!D8=("د")),ROW()-2,"")</f>
        <v/>
      </c>
      <c r="I10" s="45">
        <f t="shared" si="2"/>
        <v>12</v>
      </c>
      <c r="J10" s="10" t="str">
        <f>IF(OR('بيانات التلاميذ في المادة '!E8="ج",'بيانات التلاميذ في المادة '!E8=("د")),ROW()-2,"")</f>
        <v/>
      </c>
      <c r="K10" s="10">
        <f t="shared" si="3"/>
        <v>13</v>
      </c>
      <c r="L10" s="10" t="str">
        <f>IF(OR('بيانات التلاميذ في المادة '!F8="ج",'بيانات التلاميذ في المادة '!F8=("د")),ROW()-2,"")</f>
        <v/>
      </c>
      <c r="M10" s="10">
        <f t="shared" si="4"/>
        <v>13</v>
      </c>
    </row>
    <row r="11" spans="1:21" x14ac:dyDescent="0.25">
      <c r="A11" s="32">
        <f>IF(OR((B11&lt;&gt;""),(C11&lt;&gt;""),(D11&lt;&gt;""),(E11&lt;&gt;"")),ROW()-10,"")</f>
        <v>1</v>
      </c>
      <c r="B11" s="78" t="str">
        <f>IFERROR(INDEX('بيانات التلاميذ في المادة '!$A$5:$A$54,'التلاميذ للمعالجة الكفاءة 1'!G7-4),"")</f>
        <v>ريتاج أمبارك</v>
      </c>
      <c r="C11" s="78" t="str">
        <f>IFERROR(INDEX('بيانات التلاميذ في المادة '!$A$5:$A$54,'التلاميذ للمعالجة الكفاءة 1'!I7-4),"")</f>
        <v>ريتاج أمبارك</v>
      </c>
      <c r="D11" s="78" t="str">
        <f>IFERROR(INDEX('بيانات التلاميذ في المادة '!$A$5:$A$54,'التلاميذ للمعالجة الكفاءة 1'!K7-4),"")</f>
        <v>ريتاج أمبارك</v>
      </c>
      <c r="E11" s="81" t="str">
        <f>IFERROR(INDEX('بيانات التلاميذ في المادة '!$A$5:$A$54,'التلاميذ للمعالجة الكفاءة 1'!M7-4),"")</f>
        <v>ريتاج أمبارك</v>
      </c>
      <c r="F11" s="45" t="str">
        <f>IF(OR('بيانات التلاميذ في المادة '!C9="ج",'بيانات التلاميذ في المادة '!C9=("د")),ROW()-2,"")</f>
        <v/>
      </c>
      <c r="G11" s="45">
        <f t="shared" si="1"/>
        <v>14</v>
      </c>
      <c r="H11" s="45" t="str">
        <f>IF(OR('بيانات التلاميذ في المادة '!D9="ج",'بيانات التلاميذ في المادة '!D9=("د")),ROW()-2,"")</f>
        <v/>
      </c>
      <c r="I11" s="45">
        <f t="shared" si="2"/>
        <v>13</v>
      </c>
      <c r="J11" s="10" t="str">
        <f>IF(OR('بيانات التلاميذ في المادة '!E9="ج",'بيانات التلاميذ في المادة '!E9=("د")),ROW()-2,"")</f>
        <v/>
      </c>
      <c r="K11" s="10">
        <f t="shared" si="3"/>
        <v>14</v>
      </c>
      <c r="L11" s="10" t="str">
        <f>IF(OR('بيانات التلاميذ في المادة '!F9="ج",'بيانات التلاميذ في المادة '!F9=("د")),ROW()-2,"")</f>
        <v/>
      </c>
      <c r="M11" s="10">
        <f t="shared" si="4"/>
        <v>14</v>
      </c>
    </row>
    <row r="12" spans="1:21" x14ac:dyDescent="0.25">
      <c r="A12" s="32">
        <f t="shared" ref="A12:A45" si="5">IF(OR((B12&lt;&gt;""),(C12&lt;&gt;""),(D12&lt;&gt;""),(E12&lt;&gt;"")),ROW()-10,"")</f>
        <v>2</v>
      </c>
      <c r="B12" s="30" t="str">
        <f>IFERROR(INDEX('بيانات التلاميذ في المادة '!$A$5:$A$54,'التلاميذ للمعالجة الكفاءة 1'!G8-4),"")</f>
        <v>محمد بن طيب</v>
      </c>
      <c r="C12" s="30" t="str">
        <f>IFERROR(INDEX('بيانات التلاميذ في المادة '!$A$5:$A$54,'التلاميذ للمعالجة الكفاءة 1'!I8-4),"")</f>
        <v>محمد الرشيد بربارة</v>
      </c>
      <c r="D12" s="30" t="str">
        <f>IFERROR(INDEX('بيانات التلاميذ في المادة '!$A$5:$A$54,'التلاميذ للمعالجة الكفاءة 1'!K8-4),"")</f>
        <v>محمد الرشيد بربارة</v>
      </c>
      <c r="E12" s="31" t="str">
        <f>IFERROR(INDEX('بيانات التلاميذ في المادة '!$A$5:$A$54,'التلاميذ للمعالجة الكفاءة 1'!M8-4),"")</f>
        <v>محمد الرشيد بربارة</v>
      </c>
      <c r="F12" s="45" t="str">
        <f>IF(OR('بيانات التلاميذ في المادة '!C10="ج",'بيانات التلاميذ في المادة '!C10=("د")),ROW()-2,"")</f>
        <v/>
      </c>
      <c r="G12" s="45">
        <f t="shared" si="1"/>
        <v>15</v>
      </c>
      <c r="H12" s="45" t="str">
        <f>IF(OR('بيانات التلاميذ في المادة '!D10="ج",'بيانات التلاميذ في المادة '!D10=("د")),ROW()-2,"")</f>
        <v/>
      </c>
      <c r="I12" s="45">
        <f t="shared" si="2"/>
        <v>14</v>
      </c>
      <c r="J12" s="10" t="str">
        <f>IF(OR('بيانات التلاميذ في المادة '!E10="ج",'بيانات التلاميذ في المادة '!E10=("د")),ROW()-2,"")</f>
        <v/>
      </c>
      <c r="K12" s="10">
        <f t="shared" si="3"/>
        <v>17</v>
      </c>
      <c r="L12" s="10" t="str">
        <f>IF(OR('بيانات التلاميذ في المادة '!F10="ج",'بيانات التلاميذ في المادة '!F10=("د")),ROW()-2,"")</f>
        <v/>
      </c>
      <c r="M12" s="10">
        <f t="shared" si="4"/>
        <v>15</v>
      </c>
    </row>
    <row r="13" spans="1:21" x14ac:dyDescent="0.25">
      <c r="A13" s="32">
        <f t="shared" si="5"/>
        <v>3</v>
      </c>
      <c r="B13" s="30" t="str">
        <f>IFERROR(INDEX('بيانات التلاميذ في المادة '!$A$5:$A$54,'التلاميذ للمعالجة الكفاءة 1'!G9-4),"")</f>
        <v>نضال سليم بن عابد</v>
      </c>
      <c r="C13" s="30" t="str">
        <f>IFERROR(INDEX('بيانات التلاميذ في المادة '!$A$5:$A$54,'التلاميذ للمعالجة الكفاءة 1'!I9-4),"")</f>
        <v>محمد بن طيب</v>
      </c>
      <c r="D13" s="30" t="str">
        <f>IFERROR(INDEX('بيانات التلاميذ في المادة '!$A$5:$A$54,'التلاميذ للمعالجة الكفاءة 1'!K9-4),"")</f>
        <v>محمد بن طيب</v>
      </c>
      <c r="E13" s="31" t="str">
        <f>IFERROR(INDEX('بيانات التلاميذ في المادة '!$A$5:$A$54,'التلاميذ للمعالجة الكفاءة 1'!M9-4),"")</f>
        <v>محمد بن طيب</v>
      </c>
      <c r="F13" s="45">
        <f>IF(OR('بيانات التلاميذ في المادة '!C11="ج",'بيانات التلاميذ في المادة '!C11=("د")),ROW()-2,"")</f>
        <v>11</v>
      </c>
      <c r="G13" s="45">
        <f t="shared" si="1"/>
        <v>17</v>
      </c>
      <c r="H13" s="45">
        <f>IF(OR('بيانات التلاميذ في المادة '!D11="ج",'بيانات التلاميذ في المادة '!D11=("د")),ROW()-2,"")</f>
        <v>11</v>
      </c>
      <c r="I13" s="45">
        <f t="shared" si="2"/>
        <v>17</v>
      </c>
      <c r="J13" s="10">
        <f>IF(OR('بيانات التلاميذ في المادة '!E11="ج",'بيانات التلاميذ في المادة '!E11=("د")),ROW()-2,"")</f>
        <v>11</v>
      </c>
      <c r="K13" s="10">
        <f t="shared" si="3"/>
        <v>26</v>
      </c>
      <c r="L13" s="10">
        <f>IF(OR('بيانات التلاميذ في المادة '!F11="ج",'بيانات التلاميذ في المادة '!F11=("د")),ROW()-2,"")</f>
        <v>11</v>
      </c>
      <c r="M13" s="10">
        <f t="shared" si="4"/>
        <v>17</v>
      </c>
    </row>
    <row r="14" spans="1:21" x14ac:dyDescent="0.25">
      <c r="A14" s="32">
        <f t="shared" si="5"/>
        <v>4</v>
      </c>
      <c r="B14" s="30" t="str">
        <f>IFERROR(INDEX('بيانات التلاميذ في المادة '!$A$5:$A$54,'التلاميذ للمعالجة الكفاءة 1'!G10-4),"")</f>
        <v>شهرزاد بوراس</v>
      </c>
      <c r="C14" s="30" t="str">
        <f>IFERROR(INDEX('بيانات التلاميذ في المادة '!$A$5:$A$54,'التلاميذ للمعالجة الكفاءة 1'!I10-4),"")</f>
        <v>نضال سليم بن عابد</v>
      </c>
      <c r="D14" s="30" t="str">
        <f>IFERROR(INDEX('بيانات التلاميذ في المادة '!$A$5:$A$54,'التلاميذ للمعالجة الكفاءة 1'!K10-4),"")</f>
        <v>شهرزاد بوراس</v>
      </c>
      <c r="E14" s="31" t="str">
        <f>IFERROR(INDEX('بيانات التلاميذ في المادة '!$A$5:$A$54,'التلاميذ للمعالجة الكفاءة 1'!M10-4),"")</f>
        <v>شهرزاد بوراس</v>
      </c>
      <c r="F14" s="45">
        <f>IF(OR('بيانات التلاميذ في المادة '!C12="ج",'بيانات التلاميذ في المادة '!C12=("د")),ROW()-2,"")</f>
        <v>12</v>
      </c>
      <c r="G14" s="45">
        <f t="shared" si="1"/>
        <v>24</v>
      </c>
      <c r="H14" s="45">
        <f>IF(OR('بيانات التلاميذ في المادة '!D12="ج",'بيانات التلاميذ في المادة '!D12=("د")),ROW()-2,"")</f>
        <v>12</v>
      </c>
      <c r="I14" s="45">
        <f t="shared" si="2"/>
        <v>24</v>
      </c>
      <c r="J14" s="10" t="str">
        <f>IF(OR('بيانات التلاميذ في المادة '!E12="ج",'بيانات التلاميذ في المادة '!E12=("د")),ROW()-2,"")</f>
        <v/>
      </c>
      <c r="K14" s="10">
        <f t="shared" si="3"/>
        <v>33</v>
      </c>
      <c r="L14" s="10" t="str">
        <f>IF(OR('بيانات التلاميذ في المادة '!F12="ج",'بيانات التلاميذ في المادة '!F12=("د")),ROW()-2,"")</f>
        <v/>
      </c>
      <c r="M14" s="10">
        <f t="shared" si="4"/>
        <v>26</v>
      </c>
    </row>
    <row r="15" spans="1:21" x14ac:dyDescent="0.25">
      <c r="A15" s="32">
        <f t="shared" si="5"/>
        <v>5</v>
      </c>
      <c r="B15" s="30" t="str">
        <f>IFERROR(INDEX('بيانات التلاميذ في المادة '!$A$5:$A$54,'التلاميذ للمعالجة الكفاءة 1'!G11-4),"")</f>
        <v>فراح بوزيتونة</v>
      </c>
      <c r="C15" s="30" t="str">
        <f>IFERROR(INDEX('بيانات التلاميذ في المادة '!$A$5:$A$54,'التلاميذ للمعالجة الكفاءة 1'!I11-4),"")</f>
        <v>شهرزاد بوراس</v>
      </c>
      <c r="D15" s="30" t="str">
        <f>IFERROR(INDEX('بيانات التلاميذ في المادة '!$A$5:$A$54,'التلاميذ للمعالجة الكفاءة 1'!K11-4),"")</f>
        <v>فراح بوزيتونة</v>
      </c>
      <c r="E15" s="31" t="str">
        <f>IFERROR(INDEX('بيانات التلاميذ في المادة '!$A$5:$A$54,'التلاميذ للمعالجة الكفاءة 1'!M11-4),"")</f>
        <v>فراح بوزيتونة</v>
      </c>
      <c r="F15" s="45">
        <f>IF(OR('بيانات التلاميذ في المادة '!C13="ج",'بيانات التلاميذ في المادة '!C13=("د")),ROW()-2,"")</f>
        <v>13</v>
      </c>
      <c r="G15" s="45">
        <f t="shared" si="1"/>
        <v>26</v>
      </c>
      <c r="H15" s="45">
        <f>IF(OR('بيانات التلاميذ في المادة '!D13="ج",'بيانات التلاميذ في المادة '!D13=("د")),ROW()-2,"")</f>
        <v>13</v>
      </c>
      <c r="I15" s="45">
        <f t="shared" si="2"/>
        <v>26</v>
      </c>
      <c r="J15" s="10">
        <f>IF(OR('بيانات التلاميذ في المادة '!E13="ج",'بيانات التلاميذ في المادة '!E13=("د")),ROW()-2,"")</f>
        <v>13</v>
      </c>
      <c r="K15" s="10" t="str">
        <f t="shared" si="3"/>
        <v/>
      </c>
      <c r="L15" s="10">
        <f>IF(OR('بيانات التلاميذ في المادة '!F13="ج",'بيانات التلاميذ في المادة '!F13=("د")),ROW()-2,"")</f>
        <v>13</v>
      </c>
      <c r="M15" s="10">
        <f t="shared" si="4"/>
        <v>27</v>
      </c>
    </row>
    <row r="16" spans="1:21" x14ac:dyDescent="0.25">
      <c r="A16" s="32">
        <f t="shared" si="5"/>
        <v>6</v>
      </c>
      <c r="B16" s="30" t="str">
        <f>IFERROR(INDEX('بيانات التلاميذ في المادة '!$A$5:$A$54,'التلاميذ للمعالجة الكفاءة 1'!G12-4),"")</f>
        <v>ياسر عبد المالك بوعلام</v>
      </c>
      <c r="C16" s="30" t="str">
        <f>IFERROR(INDEX('بيانات التلاميذ في المادة '!$A$5:$A$54,'التلاميذ للمعالجة الكفاءة 1'!I12-4),"")</f>
        <v>فراح بوزيتونة</v>
      </c>
      <c r="D16" s="30" t="str">
        <f>IFERROR(INDEX('بيانات التلاميذ في المادة '!$A$5:$A$54,'التلاميذ للمعالجة الكفاءة 1'!K12-4),"")</f>
        <v>عبد القادر بونوح</v>
      </c>
      <c r="E16" s="31" t="str">
        <f>IFERROR(INDEX('بيانات التلاميذ في المادة '!$A$5:$A$54,'التلاميذ للمعالجة الكفاءة 1'!M12-4),"")</f>
        <v>ياسر عبد المالك بوعلام</v>
      </c>
      <c r="F16" s="45">
        <f>IF(OR('بيانات التلاميذ في المادة '!C14="ج",'بيانات التلاميذ في المادة '!C14=("د")),ROW()-2,"")</f>
        <v>14</v>
      </c>
      <c r="G16" s="45">
        <f t="shared" si="1"/>
        <v>33</v>
      </c>
      <c r="H16" s="45">
        <f>IF(OR('بيانات التلاميذ في المادة '!D14="ج",'بيانات التلاميذ في المادة '!D14=("د")),ROW()-2,"")</f>
        <v>14</v>
      </c>
      <c r="I16" s="45">
        <f t="shared" si="2"/>
        <v>27</v>
      </c>
      <c r="J16" s="10">
        <f>IF(OR('بيانات التلاميذ في المادة '!E14="ج",'بيانات التلاميذ في المادة '!E14=("د")),ROW()-2,"")</f>
        <v>14</v>
      </c>
      <c r="K16" s="10" t="str">
        <f t="shared" si="3"/>
        <v/>
      </c>
      <c r="L16" s="10">
        <f>IF(OR('بيانات التلاميذ في المادة '!F14="ج",'بيانات التلاميذ في المادة '!F14=("د")),ROW()-2,"")</f>
        <v>14</v>
      </c>
      <c r="M16" s="10">
        <f t="shared" si="4"/>
        <v>33</v>
      </c>
    </row>
    <row r="17" spans="1:13" x14ac:dyDescent="0.25">
      <c r="A17" s="32">
        <f t="shared" si="5"/>
        <v>7</v>
      </c>
      <c r="B17" s="30" t="str">
        <f>IFERROR(INDEX('بيانات التلاميذ في المادة '!$A$5:$A$54,'التلاميذ للمعالجة الكفاءة 1'!G13-4),"")</f>
        <v>عبد القادر بونوح</v>
      </c>
      <c r="C17" s="30" t="str">
        <f>IFERROR(INDEX('بيانات التلاميذ في المادة '!$A$5:$A$54,'التلاميذ للمعالجة الكفاءة 1'!I13-4),"")</f>
        <v>عبد القادر بونوح</v>
      </c>
      <c r="D17" s="30" t="str">
        <f>IFERROR(INDEX('بيانات التلاميذ في المادة '!$A$5:$A$54,'التلاميذ للمعالجة الكفاءة 1'!K13-4),"")</f>
        <v>زهير شقرون</v>
      </c>
      <c r="E17" s="31" t="str">
        <f>IFERROR(INDEX('بيانات التلاميذ في المادة '!$A$5:$A$54,'التلاميذ للمعالجة الكفاءة 1'!M13-4),"")</f>
        <v>عبد القادر بونوح</v>
      </c>
      <c r="F17" s="45">
        <f>IF(OR('بيانات التلاميذ في المادة '!C15="ج",'بيانات التلاميذ في المادة '!C15=("د")),ROW()-2,"")</f>
        <v>15</v>
      </c>
      <c r="G17" s="45" t="str">
        <f t="shared" si="1"/>
        <v/>
      </c>
      <c r="H17" s="45" t="str">
        <f>IF(OR('بيانات التلاميذ في المادة '!D15="ج",'بيانات التلاميذ في المادة '!D15=("د")),ROW()-2,"")</f>
        <v/>
      </c>
      <c r="I17" s="45">
        <f t="shared" si="2"/>
        <v>33</v>
      </c>
      <c r="J17" s="10" t="str">
        <f>IF(OR('بيانات التلاميذ في المادة '!E15="ج",'بيانات التلاميذ في المادة '!E15=("د")),ROW()-2,"")</f>
        <v/>
      </c>
      <c r="K17" s="10" t="str">
        <f t="shared" si="3"/>
        <v/>
      </c>
      <c r="L17" s="10">
        <f>IF(OR('بيانات التلاميذ في المادة '!F15="ج",'بيانات التلاميذ في المادة '!F15=("د")),ROW()-2,"")</f>
        <v>15</v>
      </c>
      <c r="M17" s="10" t="str">
        <f t="shared" si="4"/>
        <v/>
      </c>
    </row>
    <row r="18" spans="1:13" x14ac:dyDescent="0.25">
      <c r="A18" s="32">
        <f t="shared" si="5"/>
        <v>8</v>
      </c>
      <c r="B18" s="30" t="str">
        <f>IFERROR(INDEX('بيانات التلاميذ في المادة '!$A$5:$A$54,'التلاميذ للمعالجة الكفاءة 1'!G14-4),"")</f>
        <v>مصطفى محمد سماحي</v>
      </c>
      <c r="C18" s="30" t="str">
        <f>IFERROR(INDEX('بيانات التلاميذ في المادة '!$A$5:$A$54,'التلاميذ للمعالجة الكفاءة 1'!I14-4),"")</f>
        <v>مصطفى محمد سماحي</v>
      </c>
      <c r="D18" s="30" t="str">
        <f>IFERROR(INDEX('بيانات التلاميذ في المادة '!$A$5:$A$54,'التلاميذ للمعالجة الكفاءة 1'!K14-4),"")</f>
        <v>انس لحمر عبو</v>
      </c>
      <c r="E18" s="31" t="str">
        <f>IFERROR(INDEX('بيانات التلاميذ في المادة '!$A$5:$A$54,'التلاميذ للمعالجة الكفاءة 1'!M14-4),"")</f>
        <v>زهير شقرون</v>
      </c>
      <c r="F18" s="45" t="str">
        <f>IF(OR('بيانات التلاميذ في المادة '!C16="ج",'بيانات التلاميذ في المادة '!C16=("د")),ROW()-2,"")</f>
        <v/>
      </c>
      <c r="G18" s="45" t="str">
        <f t="shared" si="1"/>
        <v/>
      </c>
      <c r="H18" s="45" t="str">
        <f>IF(OR('بيانات التلاميذ في المادة '!D16="ج",'بيانات التلاميذ في المادة '!D16=("د")),ROW()-2,"")</f>
        <v/>
      </c>
      <c r="I18" s="45">
        <f t="shared" si="2"/>
        <v>40</v>
      </c>
      <c r="J18" s="10" t="str">
        <f>IF(OR('بيانات التلاميذ في المادة '!E16="ج",'بيانات التلاميذ في المادة '!E16=("د")),ROW()-2,"")</f>
        <v/>
      </c>
      <c r="K18" s="10" t="str">
        <f t="shared" si="3"/>
        <v/>
      </c>
      <c r="L18" s="10" t="str">
        <f>IF(OR('بيانات التلاميذ في المادة '!F16="ج",'بيانات التلاميذ في المادة '!F16=("د")),ROW()-2,"")</f>
        <v/>
      </c>
      <c r="M18" s="10" t="str">
        <f t="shared" si="4"/>
        <v/>
      </c>
    </row>
    <row r="19" spans="1:13" x14ac:dyDescent="0.25">
      <c r="A19" s="32">
        <f t="shared" si="5"/>
        <v>9</v>
      </c>
      <c r="B19" s="30" t="str">
        <f>IFERROR(INDEX('بيانات التلاميذ في المادة '!$A$5:$A$54,'التلاميذ للمعالجة الكفاءة 1'!G15-4),"")</f>
        <v>زهير شقرون</v>
      </c>
      <c r="C19" s="30" t="str">
        <f>IFERROR(INDEX('بيانات التلاميذ في المادة '!$A$5:$A$54,'التلاميذ للمعالجة الكفاءة 1'!I15-4),"")</f>
        <v>زهير شقرون</v>
      </c>
      <c r="D19" s="30" t="str">
        <f>IFERROR(INDEX('بيانات التلاميذ في المادة '!$A$5:$A$54,'التلاميذ للمعالجة الكفاءة 1'!K15-4),"")</f>
        <v/>
      </c>
      <c r="E19" s="31" t="str">
        <f>IFERROR(INDEX('بيانات التلاميذ في المادة '!$A$5:$A$54,'التلاميذ للمعالجة الكفاءة 1'!M15-4),"")</f>
        <v>فايزة شلابي</v>
      </c>
      <c r="F19" s="45">
        <f>IF(OR('بيانات التلاميذ في المادة '!C17="ج",'بيانات التلاميذ في المادة '!C17=("د")),ROW()-2,"")</f>
        <v>17</v>
      </c>
      <c r="G19" s="45" t="str">
        <f t="shared" si="1"/>
        <v/>
      </c>
      <c r="H19" s="45">
        <f>IF(OR('بيانات التلاميذ في المادة '!D17="ج",'بيانات التلاميذ في المادة '!D17=("د")),ROW()-2,"")</f>
        <v>17</v>
      </c>
      <c r="I19" s="45" t="str">
        <f t="shared" si="2"/>
        <v/>
      </c>
      <c r="J19" s="10">
        <f>IF(OR('بيانات التلاميذ في المادة '!E17="ج",'بيانات التلاميذ في المادة '!E17=("د")),ROW()-2,"")</f>
        <v>17</v>
      </c>
      <c r="K19" s="10" t="str">
        <f t="shared" si="3"/>
        <v/>
      </c>
      <c r="L19" s="10">
        <f>IF(OR('بيانات التلاميذ في المادة '!F17="ج",'بيانات التلاميذ في المادة '!F17=("د")),ROW()-2,"")</f>
        <v>17</v>
      </c>
      <c r="M19" s="10" t="str">
        <f t="shared" si="4"/>
        <v/>
      </c>
    </row>
    <row r="20" spans="1:13" x14ac:dyDescent="0.25">
      <c r="A20" s="32">
        <f t="shared" si="5"/>
        <v>10</v>
      </c>
      <c r="B20" s="30" t="str">
        <f>IFERROR(INDEX('بيانات التلاميذ في المادة '!$A$5:$A$54,'التلاميذ للمعالجة الكفاءة 1'!G16-4),"")</f>
        <v>انس لحمر عبو</v>
      </c>
      <c r="C20" s="30" t="str">
        <f>IFERROR(INDEX('بيانات التلاميذ في المادة '!$A$5:$A$54,'التلاميذ للمعالجة الكفاءة 1'!I16-4),"")</f>
        <v>فايزة شلابي</v>
      </c>
      <c r="D20" s="30" t="str">
        <f>IFERROR(INDEX('بيانات التلاميذ في المادة '!$A$5:$A$54,'التلاميذ للمعالجة الكفاءة 1'!K16-4),"")</f>
        <v/>
      </c>
      <c r="E20" s="31" t="str">
        <f>IFERROR(INDEX('بيانات التلاميذ في المادة '!$A$5:$A$54,'التلاميذ للمعالجة الكفاءة 1'!M16-4),"")</f>
        <v>انس لحمر عبو</v>
      </c>
      <c r="F20" s="45" t="str">
        <f>IF(OR('بيانات التلاميذ في المادة '!C18="ج",'بيانات التلاميذ في المادة '!C18=("د")),ROW()-2,"")</f>
        <v/>
      </c>
      <c r="G20" s="45" t="str">
        <f t="shared" si="1"/>
        <v/>
      </c>
      <c r="H20" s="45" t="str">
        <f>IF(OR('بيانات التلاميذ في المادة '!D18="ج",'بيانات التلاميذ في المادة '!D18=("د")),ROW()-2,"")</f>
        <v/>
      </c>
      <c r="I20" s="45" t="str">
        <f t="shared" si="2"/>
        <v/>
      </c>
      <c r="J20" s="10" t="str">
        <f>IF(OR('بيانات التلاميذ في المادة '!E18="ج",'بيانات التلاميذ في المادة '!E18=("د")),ROW()-2,"")</f>
        <v/>
      </c>
      <c r="K20" s="10" t="str">
        <f t="shared" si="3"/>
        <v/>
      </c>
      <c r="L20" s="10" t="str">
        <f>IF(OR('بيانات التلاميذ في المادة '!F18="ج",'بيانات التلاميذ في المادة '!F18=("د")),ROW()-2,"")</f>
        <v/>
      </c>
      <c r="M20" s="10" t="str">
        <f t="shared" si="4"/>
        <v/>
      </c>
    </row>
    <row r="21" spans="1:13" x14ac:dyDescent="0.25">
      <c r="A21" s="32">
        <f t="shared" si="5"/>
        <v>11</v>
      </c>
      <c r="B21" s="30" t="str">
        <f>IFERROR(INDEX('بيانات التلاميذ في المادة '!$A$5:$A$54,'التلاميذ للمعالجة الكفاءة 1'!G17-4),"")</f>
        <v/>
      </c>
      <c r="C21" s="30" t="str">
        <f>IFERROR(INDEX('بيانات التلاميذ في المادة '!$A$5:$A$54,'التلاميذ للمعالجة الكفاءة 1'!I17-4),"")</f>
        <v>انس لحمر عبو</v>
      </c>
      <c r="D21" s="30" t="str">
        <f>IFERROR(INDEX('بيانات التلاميذ في المادة '!$A$5:$A$54,'التلاميذ للمعالجة الكفاءة 1'!K17-4),"")</f>
        <v/>
      </c>
      <c r="E21" s="31" t="str">
        <f>IFERROR(INDEX('بيانات التلاميذ في المادة '!$A$5:$A$54,'التلاميذ للمعالجة الكفاءة 1'!M17-4),"")</f>
        <v/>
      </c>
      <c r="F21" s="45" t="str">
        <f>IF(OR('بيانات التلاميذ في المادة '!C19="ج",'بيانات التلاميذ في المادة '!C19=("د")),ROW()-2,"")</f>
        <v/>
      </c>
      <c r="G21" s="45" t="str">
        <f t="shared" si="1"/>
        <v/>
      </c>
      <c r="H21" s="45" t="str">
        <f>IF(OR('بيانات التلاميذ في المادة '!D19="ج",'بيانات التلاميذ في المادة '!D19=("د")),ROW()-2,"")</f>
        <v/>
      </c>
      <c r="I21" s="45" t="str">
        <f t="shared" si="2"/>
        <v/>
      </c>
      <c r="J21" s="10" t="str">
        <f>IF(OR('بيانات التلاميذ في المادة '!E19="ج",'بيانات التلاميذ في المادة '!E19=("د")),ROW()-2,"")</f>
        <v/>
      </c>
      <c r="K21" s="10" t="str">
        <f t="shared" si="3"/>
        <v/>
      </c>
      <c r="L21" s="10" t="str">
        <f>IF(OR('بيانات التلاميذ في المادة '!F19="ج",'بيانات التلاميذ في المادة '!F19=("د")),ROW()-2,"")</f>
        <v/>
      </c>
      <c r="M21" s="10" t="str">
        <f t="shared" si="4"/>
        <v/>
      </c>
    </row>
    <row r="22" spans="1:13" x14ac:dyDescent="0.25">
      <c r="A22" s="32">
        <f t="shared" si="5"/>
        <v>12</v>
      </c>
      <c r="B22" s="30" t="str">
        <f>IFERROR(INDEX('بيانات التلاميذ في المادة '!$A$5:$A$54,'التلاميذ للمعالجة الكفاءة 1'!G18-4),"")</f>
        <v/>
      </c>
      <c r="C22" s="30" t="str">
        <f>IFERROR(INDEX('بيانات التلاميذ في المادة '!$A$5:$A$54,'التلاميذ للمعالجة الكفاءة 1'!I18-4),"")</f>
        <v>مروى مخفي</v>
      </c>
      <c r="D22" s="30" t="str">
        <f>IFERROR(INDEX('بيانات التلاميذ في المادة '!$A$5:$A$54,'التلاميذ للمعالجة الكفاءة 1'!K18-4),"")</f>
        <v/>
      </c>
      <c r="E22" s="31" t="str">
        <f>IFERROR(INDEX('بيانات التلاميذ في المادة '!$A$5:$A$54,'التلاميذ للمعالجة الكفاءة 1'!M18-4),"")</f>
        <v/>
      </c>
      <c r="F22" s="45" t="str">
        <f>IF(OR('بيانات التلاميذ في المادة '!C20="ج",'بيانات التلاميذ في المادة '!C20=("د")),ROW()-2,"")</f>
        <v/>
      </c>
      <c r="G22" s="45" t="str">
        <f t="shared" si="1"/>
        <v/>
      </c>
      <c r="H22" s="45" t="str">
        <f>IF(OR('بيانات التلاميذ في المادة '!D20="ج",'بيانات التلاميذ في المادة '!D20=("د")),ROW()-2,"")</f>
        <v/>
      </c>
      <c r="I22" s="45" t="str">
        <f t="shared" si="2"/>
        <v/>
      </c>
      <c r="J22" s="10" t="str">
        <f>IF(OR('بيانات التلاميذ في المادة '!E20="ج",'بيانات التلاميذ في المادة '!E20=("د")),ROW()-2,"")</f>
        <v/>
      </c>
      <c r="K22" s="10" t="str">
        <f t="shared" si="3"/>
        <v/>
      </c>
      <c r="L22" s="10" t="str">
        <f>IF(OR('بيانات التلاميذ في المادة '!F20="ج",'بيانات التلاميذ في المادة '!F20=("د")),ROW()-2,"")</f>
        <v/>
      </c>
      <c r="M22" s="10" t="str">
        <f t="shared" si="4"/>
        <v/>
      </c>
    </row>
    <row r="23" spans="1:13" x14ac:dyDescent="0.25">
      <c r="A23" s="32" t="str">
        <f t="shared" si="5"/>
        <v/>
      </c>
      <c r="B23" s="30" t="str">
        <f>IFERROR(INDEX('بيانات التلاميذ في المادة '!$A$5:$A$54,'التلاميذ للمعالجة الكفاءة 1'!G19-4),"")</f>
        <v/>
      </c>
      <c r="C23" s="30" t="str">
        <f>IFERROR(INDEX('بيانات التلاميذ في المادة '!$A$5:$A$54,'التلاميذ للمعالجة الكفاءة 1'!I19-4),"")</f>
        <v/>
      </c>
      <c r="D23" s="30" t="str">
        <f>IFERROR(INDEX('بيانات التلاميذ في المادة '!$A$5:$A$54,'التلاميذ للمعالجة الكفاءة 1'!K19-4),"")</f>
        <v/>
      </c>
      <c r="E23" s="31" t="str">
        <f>IFERROR(INDEX('بيانات التلاميذ في المادة '!$A$5:$A$54,'التلاميذ للمعالجة الكفاءة 1'!M19-4),"")</f>
        <v/>
      </c>
      <c r="F23" s="45" t="str">
        <f>IF(OR('بيانات التلاميذ في المادة '!C21="ج",'بيانات التلاميذ في المادة '!C21=("د")),ROW()-2,"")</f>
        <v/>
      </c>
      <c r="G23" s="45" t="str">
        <f t="shared" si="1"/>
        <v/>
      </c>
      <c r="H23" s="45" t="str">
        <f>IF(OR('بيانات التلاميذ في المادة '!D21="ج",'بيانات التلاميذ في المادة '!D21=("د")),ROW()-2,"")</f>
        <v/>
      </c>
      <c r="I23" s="45" t="str">
        <f t="shared" si="2"/>
        <v/>
      </c>
      <c r="J23" s="10" t="str">
        <f>IF(OR('بيانات التلاميذ في المادة '!E21="ج",'بيانات التلاميذ في المادة '!E21=("د")),ROW()-2,"")</f>
        <v/>
      </c>
      <c r="K23" s="10" t="str">
        <f t="shared" si="3"/>
        <v/>
      </c>
      <c r="L23" s="10" t="str">
        <f>IF(OR('بيانات التلاميذ في المادة '!F21="ج",'بيانات التلاميذ في المادة '!F21=("د")),ROW()-2,"")</f>
        <v/>
      </c>
      <c r="M23" s="10" t="str">
        <f t="shared" si="4"/>
        <v/>
      </c>
    </row>
    <row r="24" spans="1:13" x14ac:dyDescent="0.25">
      <c r="A24" s="32" t="str">
        <f t="shared" si="5"/>
        <v/>
      </c>
      <c r="B24" s="30" t="str">
        <f>IFERROR(INDEX('بيانات التلاميذ في المادة '!$A$5:$A$54,'التلاميذ للمعالجة الكفاءة 1'!G20-4),"")</f>
        <v/>
      </c>
      <c r="C24" s="30" t="str">
        <f>IFERROR(INDEX('بيانات التلاميذ في المادة '!$A$5:$A$54,'التلاميذ للمعالجة الكفاءة 1'!I20-4),"")</f>
        <v/>
      </c>
      <c r="D24" s="30" t="str">
        <f>IFERROR(INDEX('بيانات التلاميذ في المادة '!$A$5:$A$54,'التلاميذ للمعالجة الكفاءة 1'!K20-4),"")</f>
        <v/>
      </c>
      <c r="E24" s="31" t="str">
        <f>IFERROR(INDEX('بيانات التلاميذ في المادة '!$A$5:$A$54,'التلاميذ للمعالجة الكفاءة 1'!M20-4),"")</f>
        <v/>
      </c>
      <c r="F24" s="45" t="str">
        <f>IF(OR('بيانات التلاميذ في المادة '!C22="ج",'بيانات التلاميذ في المادة '!C22=("د")),ROW()-2,"")</f>
        <v/>
      </c>
      <c r="G24" s="45" t="str">
        <f t="shared" si="1"/>
        <v/>
      </c>
      <c r="H24" s="45" t="str">
        <f>IF(OR('بيانات التلاميذ في المادة '!D22="ج",'بيانات التلاميذ في المادة '!D22=("د")),ROW()-2,"")</f>
        <v/>
      </c>
      <c r="I24" s="45" t="str">
        <f t="shared" si="2"/>
        <v/>
      </c>
      <c r="J24" s="10" t="str">
        <f>IF(OR('بيانات التلاميذ في المادة '!E22="ج",'بيانات التلاميذ في المادة '!E22=("د")),ROW()-2,"")</f>
        <v/>
      </c>
      <c r="K24" s="10" t="str">
        <f t="shared" si="3"/>
        <v/>
      </c>
      <c r="L24" s="10" t="str">
        <f>IF(OR('بيانات التلاميذ في المادة '!F22="ج",'بيانات التلاميذ في المادة '!F22=("د")),ROW()-2,"")</f>
        <v/>
      </c>
      <c r="M24" s="10" t="str">
        <f t="shared" si="4"/>
        <v/>
      </c>
    </row>
    <row r="25" spans="1:13" x14ac:dyDescent="0.25">
      <c r="A25" s="32" t="str">
        <f t="shared" si="5"/>
        <v/>
      </c>
      <c r="B25" s="30" t="str">
        <f>IFERROR(INDEX('بيانات التلاميذ في المادة '!$A$5:$A$54,'التلاميذ للمعالجة الكفاءة 1'!G21-4),"")</f>
        <v/>
      </c>
      <c r="C25" s="30" t="str">
        <f>IFERROR(INDEX('بيانات التلاميذ في المادة '!$A$5:$A$54,'التلاميذ للمعالجة الكفاءة 1'!I21-4),"")</f>
        <v/>
      </c>
      <c r="D25" s="30" t="str">
        <f>IFERROR(INDEX('بيانات التلاميذ في المادة '!$A$5:$A$54,'التلاميذ للمعالجة الكفاءة 1'!K21-4),"")</f>
        <v/>
      </c>
      <c r="E25" s="31" t="str">
        <f>IFERROR(INDEX('بيانات التلاميذ في المادة '!$A$5:$A$54,'التلاميذ للمعالجة الكفاءة 1'!M21-4),"")</f>
        <v/>
      </c>
      <c r="F25" s="45" t="str">
        <f>IF(OR('بيانات التلاميذ في المادة '!C23="ج",'بيانات التلاميذ في المادة '!C23=("د")),ROW()-2,"")</f>
        <v/>
      </c>
      <c r="G25" s="45" t="str">
        <f t="shared" si="1"/>
        <v/>
      </c>
      <c r="H25" s="45" t="str">
        <f>IF(OR('بيانات التلاميذ في المادة '!D23="ج",'بيانات التلاميذ في المادة '!D23=("د")),ROW()-2,"")</f>
        <v/>
      </c>
      <c r="I25" s="45" t="str">
        <f t="shared" si="2"/>
        <v/>
      </c>
      <c r="J25" s="10" t="str">
        <f>IF(OR('بيانات التلاميذ في المادة '!E23="ج",'بيانات التلاميذ في المادة '!E23=("د")),ROW()-2,"")</f>
        <v/>
      </c>
      <c r="K25" s="10" t="str">
        <f t="shared" si="3"/>
        <v/>
      </c>
      <c r="L25" s="10" t="str">
        <f>IF(OR('بيانات التلاميذ في المادة '!F23="ج",'بيانات التلاميذ في المادة '!F23=("د")),ROW()-2,"")</f>
        <v/>
      </c>
      <c r="M25" s="10" t="str">
        <f t="shared" si="4"/>
        <v/>
      </c>
    </row>
    <row r="26" spans="1:13" x14ac:dyDescent="0.25">
      <c r="A26" s="32" t="str">
        <f t="shared" si="5"/>
        <v/>
      </c>
      <c r="B26" s="30" t="str">
        <f>IFERROR(INDEX('بيانات التلاميذ في المادة '!$A$5:$A$54,'التلاميذ للمعالجة الكفاءة 1'!G22-4),"")</f>
        <v/>
      </c>
      <c r="C26" s="30" t="str">
        <f>IFERROR(INDEX('بيانات التلاميذ في المادة '!$A$5:$A$54,'التلاميذ للمعالجة الكفاءة 1'!I22-4),"")</f>
        <v/>
      </c>
      <c r="D26" s="30" t="str">
        <f>IFERROR(INDEX('بيانات التلاميذ في المادة '!$A$5:$A$54,'التلاميذ للمعالجة الكفاءة 1'!K22-4),"")</f>
        <v/>
      </c>
      <c r="E26" s="31" t="str">
        <f>IFERROR(INDEX('بيانات التلاميذ في المادة '!$A$5:$A$54,'التلاميذ للمعالجة الكفاءة 1'!M22-4),"")</f>
        <v/>
      </c>
      <c r="F26" s="45">
        <f>IF(OR('بيانات التلاميذ في المادة '!C24="ج",'بيانات التلاميذ في المادة '!C24=("د")),ROW()-2,"")</f>
        <v>24</v>
      </c>
      <c r="G26" s="45" t="str">
        <f t="shared" si="1"/>
        <v/>
      </c>
      <c r="H26" s="45">
        <f>IF(OR('بيانات التلاميذ في المادة '!D24="ج",'بيانات التلاميذ في المادة '!D24=("د")),ROW()-2,"")</f>
        <v>24</v>
      </c>
      <c r="I26" s="45" t="str">
        <f t="shared" si="2"/>
        <v/>
      </c>
      <c r="J26" s="10" t="str">
        <f>IF(OR('بيانات التلاميذ في المادة '!E24="ج",'بيانات التلاميذ في المادة '!E24=("د")),ROW()-2,"")</f>
        <v/>
      </c>
      <c r="K26" s="10" t="str">
        <f t="shared" si="3"/>
        <v/>
      </c>
      <c r="L26" s="10" t="str">
        <f>IF(OR('بيانات التلاميذ في المادة '!F24="ج",'بيانات التلاميذ في المادة '!F24=("د")),ROW()-2,"")</f>
        <v/>
      </c>
      <c r="M26" s="10" t="str">
        <f t="shared" si="4"/>
        <v/>
      </c>
    </row>
    <row r="27" spans="1:13" x14ac:dyDescent="0.25">
      <c r="A27" s="32" t="str">
        <f t="shared" si="5"/>
        <v/>
      </c>
      <c r="B27" s="30" t="str">
        <f>IFERROR(INDEX('بيانات التلاميذ في المادة '!$A$5:$A$54,'التلاميذ للمعالجة الكفاءة 1'!G23-4),"")</f>
        <v/>
      </c>
      <c r="C27" s="30" t="str">
        <f>IFERROR(INDEX('بيانات التلاميذ في المادة '!$A$5:$A$54,'التلاميذ للمعالجة الكفاءة 1'!I23-4),"")</f>
        <v/>
      </c>
      <c r="D27" s="30" t="str">
        <f>IFERROR(INDEX('بيانات التلاميذ في المادة '!$A$5:$A$54,'التلاميذ للمعالجة الكفاءة 1'!K23-4),"")</f>
        <v/>
      </c>
      <c r="E27" s="31" t="str">
        <f>IFERROR(INDEX('بيانات التلاميذ في المادة '!$A$5:$A$54,'التلاميذ للمعالجة الكفاءة 1'!M23-4),"")</f>
        <v/>
      </c>
      <c r="F27" s="45" t="str">
        <f>IF(OR('بيانات التلاميذ في المادة '!C25="ج",'بيانات التلاميذ في المادة '!C25=("د")),ROW()-2,"")</f>
        <v/>
      </c>
      <c r="G27" s="45" t="str">
        <f t="shared" si="1"/>
        <v/>
      </c>
      <c r="H27" s="45" t="str">
        <f>IF(OR('بيانات التلاميذ في المادة '!D25="ج",'بيانات التلاميذ في المادة '!D25=("د")),ROW()-2,"")</f>
        <v/>
      </c>
      <c r="I27" s="45" t="str">
        <f t="shared" si="2"/>
        <v/>
      </c>
      <c r="J27" s="10" t="str">
        <f>IF(OR('بيانات التلاميذ في المادة '!E25="ج",'بيانات التلاميذ في المادة '!E25=("د")),ROW()-2,"")</f>
        <v/>
      </c>
      <c r="K27" s="10" t="str">
        <f t="shared" si="3"/>
        <v/>
      </c>
      <c r="L27" s="10" t="str">
        <f>IF(OR('بيانات التلاميذ في المادة '!F25="ج",'بيانات التلاميذ في المادة '!F25=("د")),ROW()-2,"")</f>
        <v/>
      </c>
      <c r="M27" s="10" t="str">
        <f t="shared" si="4"/>
        <v/>
      </c>
    </row>
    <row r="28" spans="1:13" x14ac:dyDescent="0.25">
      <c r="A28" s="32" t="str">
        <f t="shared" si="5"/>
        <v/>
      </c>
      <c r="B28" s="30" t="str">
        <f>IFERROR(INDEX('بيانات التلاميذ في المادة '!$A$5:$A$54,'التلاميذ للمعالجة الكفاءة 1'!G24-4),"")</f>
        <v/>
      </c>
      <c r="C28" s="30" t="str">
        <f>IFERROR(INDEX('بيانات التلاميذ في المادة '!$A$5:$A$54,'التلاميذ للمعالجة الكفاءة 1'!I24-4),"")</f>
        <v/>
      </c>
      <c r="D28" s="30" t="str">
        <f>IFERROR(INDEX('بيانات التلاميذ في المادة '!$A$5:$A$54,'التلاميذ للمعالجة الكفاءة 1'!K24-4),"")</f>
        <v/>
      </c>
      <c r="E28" s="31" t="str">
        <f>IFERROR(INDEX('بيانات التلاميذ في المادة '!$A$5:$A$54,'التلاميذ للمعالجة الكفاءة 1'!M24-4),"")</f>
        <v/>
      </c>
      <c r="F28" s="45">
        <f>IF(OR('بيانات التلاميذ في المادة '!C26="ج",'بيانات التلاميذ في المادة '!C26=("د")),ROW()-2,"")</f>
        <v>26</v>
      </c>
      <c r="G28" s="45" t="str">
        <f t="shared" si="1"/>
        <v/>
      </c>
      <c r="H28" s="45">
        <f>IF(OR('بيانات التلاميذ في المادة '!D26="ج",'بيانات التلاميذ في المادة '!D26=("د")),ROW()-2,"")</f>
        <v>26</v>
      </c>
      <c r="I28" s="45" t="str">
        <f t="shared" si="2"/>
        <v/>
      </c>
      <c r="J28" s="10">
        <f>IF(OR('بيانات التلاميذ في المادة '!E26="ج",'بيانات التلاميذ في المادة '!E26=("د")),ROW()-2,"")</f>
        <v>26</v>
      </c>
      <c r="K28" s="10" t="str">
        <f t="shared" si="3"/>
        <v/>
      </c>
      <c r="L28" s="10">
        <f>IF(OR('بيانات التلاميذ في المادة '!F26="ج",'بيانات التلاميذ في المادة '!F26=("د")),ROW()-2,"")</f>
        <v>26</v>
      </c>
      <c r="M28" s="10" t="str">
        <f t="shared" si="4"/>
        <v/>
      </c>
    </row>
    <row r="29" spans="1:13" x14ac:dyDescent="0.25">
      <c r="A29" s="32" t="str">
        <f t="shared" si="5"/>
        <v/>
      </c>
      <c r="B29" s="30" t="str">
        <f>IFERROR(INDEX('بيانات التلاميذ في المادة '!$A$5:$A$54,'التلاميذ للمعالجة الكفاءة 1'!G25-4),"")</f>
        <v/>
      </c>
      <c r="C29" s="30" t="str">
        <f>IFERROR(INDEX('بيانات التلاميذ في المادة '!$A$5:$A$54,'التلاميذ للمعالجة الكفاءة 1'!I25-4),"")</f>
        <v/>
      </c>
      <c r="D29" s="30" t="str">
        <f>IFERROR(INDEX('بيانات التلاميذ في المادة '!$A$5:$A$54,'التلاميذ للمعالجة الكفاءة 1'!K25-4),"")</f>
        <v/>
      </c>
      <c r="E29" s="31" t="str">
        <f>IFERROR(INDEX('بيانات التلاميذ في المادة '!$A$5:$A$54,'التلاميذ للمعالجة الكفاءة 1'!M25-4),"")</f>
        <v/>
      </c>
      <c r="F29" s="45" t="str">
        <f>IF(OR('بيانات التلاميذ في المادة '!C27="ج",'بيانات التلاميذ في المادة '!C27=("د")),ROW()-2,"")</f>
        <v/>
      </c>
      <c r="G29" s="45" t="str">
        <f t="shared" si="1"/>
        <v/>
      </c>
      <c r="H29" s="45">
        <f>IF(OR('بيانات التلاميذ في المادة '!D27="ج",'بيانات التلاميذ في المادة '!D27=("د")),ROW()-2,"")</f>
        <v>27</v>
      </c>
      <c r="I29" s="45" t="str">
        <f t="shared" si="2"/>
        <v/>
      </c>
      <c r="J29" s="10" t="str">
        <f>IF(OR('بيانات التلاميذ في المادة '!E27="ج",'بيانات التلاميذ في المادة '!E27=("د")),ROW()-2,"")</f>
        <v/>
      </c>
      <c r="K29" s="10" t="str">
        <f t="shared" si="3"/>
        <v/>
      </c>
      <c r="L29" s="10">
        <f>IF(OR('بيانات التلاميذ في المادة '!F27="ج",'بيانات التلاميذ في المادة '!F27=("د")),ROW()-2,"")</f>
        <v>27</v>
      </c>
      <c r="M29" s="10" t="str">
        <f t="shared" si="4"/>
        <v/>
      </c>
    </row>
    <row r="30" spans="1:13" x14ac:dyDescent="0.25">
      <c r="A30" s="32" t="str">
        <f t="shared" si="5"/>
        <v/>
      </c>
      <c r="B30" s="30" t="str">
        <f>IFERROR(INDEX('بيانات التلاميذ في المادة '!$A$5:$A$54,'التلاميذ للمعالجة الكفاءة 1'!G26-4),"")</f>
        <v/>
      </c>
      <c r="C30" s="30" t="str">
        <f>IFERROR(INDEX('بيانات التلاميذ في المادة '!$A$5:$A$54,'التلاميذ للمعالجة الكفاءة 1'!I26-4),"")</f>
        <v/>
      </c>
      <c r="D30" s="30" t="str">
        <f>IFERROR(INDEX('بيانات التلاميذ في المادة '!$A$5:$A$54,'التلاميذ للمعالجة الكفاءة 1'!K26-4),"")</f>
        <v/>
      </c>
      <c r="E30" s="31" t="str">
        <f>IFERROR(INDEX('بيانات التلاميذ في المادة '!$A$5:$A$54,'التلاميذ للمعالجة الكفاءة 1'!M26-4),"")</f>
        <v/>
      </c>
      <c r="F30" s="45" t="str">
        <f>IF(OR('بيانات التلاميذ في المادة '!C28="ج",'بيانات التلاميذ في المادة '!C28=("د")),ROW()-2,"")</f>
        <v/>
      </c>
      <c r="G30" s="45" t="str">
        <f t="shared" si="1"/>
        <v/>
      </c>
      <c r="H30" s="45" t="str">
        <f>IF(OR('بيانات التلاميذ في المادة '!D28="ج",'بيانات التلاميذ في المادة '!D28=("د")),ROW()-2,"")</f>
        <v/>
      </c>
      <c r="I30" s="45" t="str">
        <f t="shared" si="2"/>
        <v/>
      </c>
      <c r="J30" s="10" t="str">
        <f>IF(OR('بيانات التلاميذ في المادة '!E28="ج",'بيانات التلاميذ في المادة '!E28=("د")),ROW()-2,"")</f>
        <v/>
      </c>
      <c r="K30" s="10" t="str">
        <f t="shared" si="3"/>
        <v/>
      </c>
      <c r="L30" s="10" t="str">
        <f>IF(OR('بيانات التلاميذ في المادة '!F28="ج",'بيانات التلاميذ في المادة '!F28=("د")),ROW()-2,"")</f>
        <v/>
      </c>
      <c r="M30" s="10" t="str">
        <f t="shared" si="4"/>
        <v/>
      </c>
    </row>
    <row r="31" spans="1:13" x14ac:dyDescent="0.25">
      <c r="A31" s="32" t="str">
        <f t="shared" si="5"/>
        <v/>
      </c>
      <c r="B31" s="30" t="str">
        <f>IFERROR(INDEX('بيانات التلاميذ في المادة '!$A$5:$A$54,'التلاميذ للمعالجة الكفاءة 1'!G27-4),"")</f>
        <v/>
      </c>
      <c r="C31" s="30" t="str">
        <f>IFERROR(INDEX('بيانات التلاميذ في المادة '!$A$5:$A$54,'التلاميذ للمعالجة الكفاءة 1'!I27-4),"")</f>
        <v/>
      </c>
      <c r="D31" s="30" t="str">
        <f>IFERROR(INDEX('بيانات التلاميذ في المادة '!$A$5:$A$54,'التلاميذ للمعالجة الكفاءة 1'!K27-4),"")</f>
        <v/>
      </c>
      <c r="E31" s="31" t="str">
        <f>IFERROR(INDEX('بيانات التلاميذ في المادة '!$A$5:$A$54,'التلاميذ للمعالجة الكفاءة 1'!M27-4),"")</f>
        <v/>
      </c>
      <c r="F31" s="45" t="str">
        <f>IF(OR('بيانات التلاميذ في المادة '!C29="ج",'بيانات التلاميذ في المادة '!C29=("د")),ROW()-2,"")</f>
        <v/>
      </c>
      <c r="G31" s="45" t="str">
        <f t="shared" si="1"/>
        <v/>
      </c>
      <c r="H31" s="45" t="str">
        <f>IF(OR('بيانات التلاميذ في المادة '!D29="ج",'بيانات التلاميذ في المادة '!D29=("د")),ROW()-2,"")</f>
        <v/>
      </c>
      <c r="I31" s="45" t="str">
        <f t="shared" si="2"/>
        <v/>
      </c>
      <c r="J31" s="10" t="str">
        <f>IF(OR('بيانات التلاميذ في المادة '!E29="ج",'بيانات التلاميذ في المادة '!E29=("د")),ROW()-2,"")</f>
        <v/>
      </c>
      <c r="K31" s="10" t="str">
        <f t="shared" si="3"/>
        <v/>
      </c>
      <c r="L31" s="10" t="str">
        <f>IF(OR('بيانات التلاميذ في المادة '!F29="ج",'بيانات التلاميذ في المادة '!F29=("د")),ROW()-2,"")</f>
        <v/>
      </c>
      <c r="M31" s="10" t="str">
        <f t="shared" si="4"/>
        <v/>
      </c>
    </row>
    <row r="32" spans="1:13" x14ac:dyDescent="0.25">
      <c r="A32" s="32" t="str">
        <f t="shared" si="5"/>
        <v/>
      </c>
      <c r="B32" s="30" t="str">
        <f>IFERROR(INDEX('بيانات التلاميذ في المادة '!$A$5:$A$54,'التلاميذ للمعالجة الكفاءة 1'!G28-4),"")</f>
        <v/>
      </c>
      <c r="C32" s="30" t="str">
        <f>IFERROR(INDEX('بيانات التلاميذ في المادة '!$A$5:$A$54,'التلاميذ للمعالجة الكفاءة 1'!I28-4),"")</f>
        <v/>
      </c>
      <c r="D32" s="30" t="str">
        <f>IFERROR(INDEX('بيانات التلاميذ في المادة '!$A$5:$A$54,'التلاميذ للمعالجة الكفاءة 1'!K28-4),"")</f>
        <v/>
      </c>
      <c r="E32" s="31" t="str">
        <f>IFERROR(INDEX('بيانات التلاميذ في المادة '!$A$5:$A$54,'التلاميذ للمعالجة الكفاءة 1'!M28-4),"")</f>
        <v/>
      </c>
      <c r="F32" s="45" t="str">
        <f>IF(OR('بيانات التلاميذ في المادة '!C30="ج",'بيانات التلاميذ في المادة '!C30=("د")),ROW()-2,"")</f>
        <v/>
      </c>
      <c r="G32" s="45" t="str">
        <f t="shared" si="1"/>
        <v/>
      </c>
      <c r="H32" s="45" t="str">
        <f>IF(OR('بيانات التلاميذ في المادة '!D30="ج",'بيانات التلاميذ في المادة '!D30=("د")),ROW()-2,"")</f>
        <v/>
      </c>
      <c r="I32" s="45" t="str">
        <f t="shared" si="2"/>
        <v/>
      </c>
      <c r="J32" s="10" t="str">
        <f>IF(OR('بيانات التلاميذ في المادة '!E30="ج",'بيانات التلاميذ في المادة '!E30=("د")),ROW()-2,"")</f>
        <v/>
      </c>
      <c r="K32" s="10" t="str">
        <f t="shared" si="3"/>
        <v/>
      </c>
      <c r="L32" s="10" t="str">
        <f>IF(OR('بيانات التلاميذ في المادة '!F30="ج",'بيانات التلاميذ في المادة '!F30=("د")),ROW()-2,"")</f>
        <v/>
      </c>
      <c r="M32" s="10" t="str">
        <f t="shared" si="4"/>
        <v/>
      </c>
    </row>
    <row r="33" spans="1:13" x14ac:dyDescent="0.25">
      <c r="A33" s="32" t="str">
        <f t="shared" si="5"/>
        <v/>
      </c>
      <c r="B33" s="30" t="str">
        <f>IFERROR(INDEX('بيانات التلاميذ في المادة '!$A$5:$A$54,'التلاميذ للمعالجة الكفاءة 1'!G29-4),"")</f>
        <v/>
      </c>
      <c r="C33" s="30" t="str">
        <f>IFERROR(INDEX('بيانات التلاميذ في المادة '!$A$5:$A$54,'التلاميذ للمعالجة الكفاءة 1'!I29-4),"")</f>
        <v/>
      </c>
      <c r="D33" s="30" t="str">
        <f>IFERROR(INDEX('بيانات التلاميذ في المادة '!$A$5:$A$54,'التلاميذ للمعالجة الكفاءة 1'!K29-4),"")</f>
        <v/>
      </c>
      <c r="E33" s="31" t="str">
        <f>IFERROR(INDEX('بيانات التلاميذ في المادة '!$A$5:$A$54,'التلاميذ للمعالجة الكفاءة 1'!M29-4),"")</f>
        <v/>
      </c>
      <c r="F33" s="45" t="str">
        <f>IF(OR('بيانات التلاميذ في المادة '!C31="ج",'بيانات التلاميذ في المادة '!C31=("د")),ROW()-2,"")</f>
        <v/>
      </c>
      <c r="G33" s="45" t="str">
        <f t="shared" si="1"/>
        <v/>
      </c>
      <c r="H33" s="45" t="str">
        <f>IF(OR('بيانات التلاميذ في المادة '!D31="ج",'بيانات التلاميذ في المادة '!D31=("د")),ROW()-2,"")</f>
        <v/>
      </c>
      <c r="I33" s="45" t="str">
        <f t="shared" si="2"/>
        <v/>
      </c>
      <c r="J33" s="10" t="str">
        <f>IF(OR('بيانات التلاميذ في المادة '!E31="ج",'بيانات التلاميذ في المادة '!E31=("د")),ROW()-2,"")</f>
        <v/>
      </c>
      <c r="K33" s="10" t="str">
        <f t="shared" si="3"/>
        <v/>
      </c>
      <c r="L33" s="10" t="str">
        <f>IF(OR('بيانات التلاميذ في المادة '!F31="ج",'بيانات التلاميذ في المادة '!F31=("د")),ROW()-2,"")</f>
        <v/>
      </c>
      <c r="M33" s="10" t="str">
        <f t="shared" si="4"/>
        <v/>
      </c>
    </row>
    <row r="34" spans="1:13" x14ac:dyDescent="0.25">
      <c r="A34" s="32" t="str">
        <f t="shared" si="5"/>
        <v/>
      </c>
      <c r="B34" s="30" t="str">
        <f>IFERROR(INDEX('بيانات التلاميذ في المادة '!$A$5:$A$54,'التلاميذ للمعالجة الكفاءة 1'!G30-4),"")</f>
        <v/>
      </c>
      <c r="C34" s="30" t="str">
        <f>IFERROR(INDEX('بيانات التلاميذ في المادة '!$A$5:$A$54,'التلاميذ للمعالجة الكفاءة 1'!I30-4),"")</f>
        <v/>
      </c>
      <c r="D34" s="30" t="str">
        <f>IFERROR(INDEX('بيانات التلاميذ في المادة '!$A$5:$A$54,'التلاميذ للمعالجة الكفاءة 1'!K30-4),"")</f>
        <v/>
      </c>
      <c r="E34" s="31" t="str">
        <f>IFERROR(INDEX('بيانات التلاميذ في المادة '!$A$5:$A$54,'التلاميذ للمعالجة الكفاءة 1'!M30-4),"")</f>
        <v/>
      </c>
      <c r="F34" s="45" t="str">
        <f>IF(OR('بيانات التلاميذ في المادة '!C32="ج",'بيانات التلاميذ في المادة '!C32=("د")),ROW()-2,"")</f>
        <v/>
      </c>
      <c r="G34" s="45" t="str">
        <f t="shared" si="1"/>
        <v/>
      </c>
      <c r="H34" s="45" t="str">
        <f>IF(OR('بيانات التلاميذ في المادة '!D32="ج",'بيانات التلاميذ في المادة '!D32=("د")),ROW()-2,"")</f>
        <v/>
      </c>
      <c r="I34" s="45" t="str">
        <f t="shared" si="2"/>
        <v/>
      </c>
      <c r="J34" s="10" t="str">
        <f>IF(OR('بيانات التلاميذ في المادة '!E32="ج",'بيانات التلاميذ في المادة '!E32=("د")),ROW()-2,"")</f>
        <v/>
      </c>
      <c r="K34" s="10" t="str">
        <f t="shared" si="3"/>
        <v/>
      </c>
      <c r="L34" s="10" t="str">
        <f>IF(OR('بيانات التلاميذ في المادة '!F32="ج",'بيانات التلاميذ في المادة '!F32=("د")),ROW()-2,"")</f>
        <v/>
      </c>
      <c r="M34" s="10" t="str">
        <f t="shared" si="4"/>
        <v/>
      </c>
    </row>
    <row r="35" spans="1:13" x14ac:dyDescent="0.25">
      <c r="A35" s="32" t="str">
        <f t="shared" si="5"/>
        <v/>
      </c>
      <c r="B35" s="30" t="str">
        <f>IFERROR(INDEX('بيانات التلاميذ في المادة '!$A$5:$A$54,'التلاميذ للمعالجة الكفاءة 1'!G31-4),"")</f>
        <v/>
      </c>
      <c r="C35" s="30" t="str">
        <f>IFERROR(INDEX('بيانات التلاميذ في المادة '!$A$5:$A$54,'التلاميذ للمعالجة الكفاءة 1'!I31-4),"")</f>
        <v/>
      </c>
      <c r="D35" s="30" t="str">
        <f>IFERROR(INDEX('بيانات التلاميذ في المادة '!$A$5:$A$54,'التلاميذ للمعالجة الكفاءة 1'!K31-4),"")</f>
        <v/>
      </c>
      <c r="E35" s="31" t="str">
        <f>IFERROR(INDEX('بيانات التلاميذ في المادة '!$A$5:$A$54,'التلاميذ للمعالجة الكفاءة 1'!M31-4),"")</f>
        <v/>
      </c>
      <c r="F35" s="45">
        <f>IF(OR('بيانات التلاميذ في المادة '!C33="ج",'بيانات التلاميذ في المادة '!C33=("د")),ROW()-2,"")</f>
        <v>33</v>
      </c>
      <c r="G35" s="45" t="str">
        <f t="shared" si="1"/>
        <v/>
      </c>
      <c r="H35" s="45">
        <f>IF(OR('بيانات التلاميذ في المادة '!D33="ج",'بيانات التلاميذ في المادة '!D33=("د")),ROW()-2,"")</f>
        <v>33</v>
      </c>
      <c r="I35" s="45" t="str">
        <f t="shared" si="2"/>
        <v/>
      </c>
      <c r="J35" s="10">
        <f>IF(OR('بيانات التلاميذ في المادة '!E33="ج",'بيانات التلاميذ في المادة '!E33=("د")),ROW()-2,"")</f>
        <v>33</v>
      </c>
      <c r="K35" s="10" t="str">
        <f t="shared" si="3"/>
        <v/>
      </c>
      <c r="L35" s="10">
        <f>IF(OR('بيانات التلاميذ في المادة '!F33="ج",'بيانات التلاميذ في المادة '!F33=("د")),ROW()-2,"")</f>
        <v>33</v>
      </c>
      <c r="M35" s="10" t="str">
        <f t="shared" si="4"/>
        <v/>
      </c>
    </row>
    <row r="36" spans="1:13" x14ac:dyDescent="0.25">
      <c r="A36" s="32" t="str">
        <f t="shared" si="5"/>
        <v/>
      </c>
      <c r="B36" s="30" t="str">
        <f>IFERROR(INDEX('بيانات التلاميذ في المادة '!$A$5:$A$54,'التلاميذ للمعالجة الكفاءة 1'!G32-4),"")</f>
        <v/>
      </c>
      <c r="C36" s="30" t="str">
        <f>IFERROR(INDEX('بيانات التلاميذ في المادة '!$A$5:$A$54,'التلاميذ للمعالجة الكفاءة 1'!I32-4),"")</f>
        <v/>
      </c>
      <c r="D36" s="30" t="str">
        <f>IFERROR(INDEX('بيانات التلاميذ في المادة '!$A$5:$A$54,'التلاميذ للمعالجة الكفاءة 1'!K32-4),"")</f>
        <v/>
      </c>
      <c r="E36" s="31" t="str">
        <f>IFERROR(INDEX('بيانات التلاميذ في المادة '!$A$5:$A$54,'التلاميذ للمعالجة الكفاءة 1'!M32-4),"")</f>
        <v/>
      </c>
      <c r="F36" s="45" t="str">
        <f>IF(OR('بيانات التلاميذ في المادة '!C34="ج",'بيانات التلاميذ في المادة '!C34=("د")),ROW()-2,"")</f>
        <v/>
      </c>
      <c r="G36" s="45" t="str">
        <f t="shared" si="1"/>
        <v/>
      </c>
      <c r="H36" s="45" t="str">
        <f>IF(OR('بيانات التلاميذ في المادة '!D34="ج",'بيانات التلاميذ في المادة '!D34=("د")),ROW()-2,"")</f>
        <v/>
      </c>
      <c r="I36" s="45" t="str">
        <f t="shared" si="2"/>
        <v/>
      </c>
      <c r="J36" s="10" t="str">
        <f>IF(OR('بيانات التلاميذ في المادة '!E34="ج",'بيانات التلاميذ في المادة '!E34=("د")),ROW()-2,"")</f>
        <v/>
      </c>
      <c r="K36" s="10" t="str">
        <f t="shared" si="3"/>
        <v/>
      </c>
      <c r="L36" s="10" t="str">
        <f>IF(OR('بيانات التلاميذ في المادة '!F34="ج",'بيانات التلاميذ في المادة '!F34=("د")),ROW()-2,"")</f>
        <v/>
      </c>
      <c r="M36" s="10" t="str">
        <f t="shared" si="4"/>
        <v/>
      </c>
    </row>
    <row r="37" spans="1:13" x14ac:dyDescent="0.25">
      <c r="A37" s="32" t="str">
        <f t="shared" si="5"/>
        <v/>
      </c>
      <c r="B37" s="30" t="str">
        <f>IFERROR(INDEX('بيانات التلاميذ في المادة '!$A$5:$A$54,'التلاميذ للمعالجة الكفاءة 1'!G33-4),"")</f>
        <v/>
      </c>
      <c r="C37" s="30" t="str">
        <f>IFERROR(INDEX('بيانات التلاميذ في المادة '!$A$5:$A$54,'التلاميذ للمعالجة الكفاءة 1'!I33-4),"")</f>
        <v/>
      </c>
      <c r="D37" s="30" t="str">
        <f>IFERROR(INDEX('بيانات التلاميذ في المادة '!$A$5:$A$54,'التلاميذ للمعالجة الكفاءة 1'!K33-4),"")</f>
        <v/>
      </c>
      <c r="E37" s="31" t="str">
        <f>IFERROR(INDEX('بيانات التلاميذ في المادة '!$A$5:$A$54,'التلاميذ للمعالجة الكفاءة 1'!M33-4),"")</f>
        <v/>
      </c>
      <c r="F37" s="45" t="str">
        <f>IF(OR('بيانات التلاميذ في المادة '!C35="ج",'بيانات التلاميذ في المادة '!C35=("د")),ROW()-2,"")</f>
        <v/>
      </c>
      <c r="G37" s="45" t="str">
        <f t="shared" si="1"/>
        <v/>
      </c>
      <c r="H37" s="45" t="str">
        <f>IF(OR('بيانات التلاميذ في المادة '!D35="ج",'بيانات التلاميذ في المادة '!D35=("د")),ROW()-2,"")</f>
        <v/>
      </c>
      <c r="I37" s="45" t="str">
        <f t="shared" si="2"/>
        <v/>
      </c>
      <c r="J37" s="10" t="str">
        <f>IF(OR('بيانات التلاميذ في المادة '!E35="ج",'بيانات التلاميذ في المادة '!E35=("د")),ROW()-2,"")</f>
        <v/>
      </c>
      <c r="K37" s="10" t="str">
        <f t="shared" si="3"/>
        <v/>
      </c>
      <c r="L37" s="10" t="str">
        <f>IF(OR('بيانات التلاميذ في المادة '!F35="ج",'بيانات التلاميذ في المادة '!F35=("د")),ROW()-2,"")</f>
        <v/>
      </c>
      <c r="M37" s="10" t="str">
        <f t="shared" si="4"/>
        <v/>
      </c>
    </row>
    <row r="38" spans="1:13" x14ac:dyDescent="0.25">
      <c r="A38" s="32" t="str">
        <f t="shared" si="5"/>
        <v/>
      </c>
      <c r="B38" s="30" t="str">
        <f>IFERROR(INDEX('بيانات التلاميذ في المادة '!$A$5:$A$54,'التلاميذ للمعالجة الكفاءة 1'!G34-4),"")</f>
        <v/>
      </c>
      <c r="C38" s="30" t="str">
        <f>IFERROR(INDEX('بيانات التلاميذ في المادة '!$A$5:$A$54,'التلاميذ للمعالجة الكفاءة 1'!I34-4),"")</f>
        <v/>
      </c>
      <c r="D38" s="30" t="str">
        <f>IFERROR(INDEX('بيانات التلاميذ في المادة '!$A$5:$A$54,'التلاميذ للمعالجة الكفاءة 1'!K34-4),"")</f>
        <v/>
      </c>
      <c r="E38" s="31" t="str">
        <f>IFERROR(INDEX('بيانات التلاميذ في المادة '!$A$5:$A$54,'التلاميذ للمعالجة الكفاءة 1'!M34-4),"")</f>
        <v/>
      </c>
      <c r="F38" s="45" t="str">
        <f>IF(OR('بيانات التلاميذ في المادة '!C36="ج",'بيانات التلاميذ في المادة '!C36=("د")),ROW()-2,"")</f>
        <v/>
      </c>
      <c r="G38" s="45" t="str">
        <f t="shared" si="1"/>
        <v/>
      </c>
      <c r="H38" s="45" t="str">
        <f>IF(OR('بيانات التلاميذ في المادة '!D36="ج",'بيانات التلاميذ في المادة '!D36=("د")),ROW()-2,"")</f>
        <v/>
      </c>
      <c r="I38" s="45" t="str">
        <f t="shared" si="2"/>
        <v/>
      </c>
      <c r="J38" s="10" t="str">
        <f>IF(OR('بيانات التلاميذ في المادة '!E36="ج",'بيانات التلاميذ في المادة '!E36=("د")),ROW()-2,"")</f>
        <v/>
      </c>
      <c r="K38" s="10" t="str">
        <f t="shared" si="3"/>
        <v/>
      </c>
      <c r="L38" s="10" t="str">
        <f>IF(OR('بيانات التلاميذ في المادة '!F36="ج",'بيانات التلاميذ في المادة '!F36=("د")),ROW()-2,"")</f>
        <v/>
      </c>
      <c r="M38" s="10" t="str">
        <f t="shared" si="4"/>
        <v/>
      </c>
    </row>
    <row r="39" spans="1:13" x14ac:dyDescent="0.25">
      <c r="A39" s="32" t="str">
        <f t="shared" si="5"/>
        <v/>
      </c>
      <c r="B39" s="30" t="str">
        <f>IFERROR(INDEX('بيانات التلاميذ في المادة '!$A$5:$A$54,'التلاميذ للمعالجة الكفاءة 1'!G35-4),"")</f>
        <v/>
      </c>
      <c r="C39" s="30" t="str">
        <f>IFERROR(INDEX('بيانات التلاميذ في المادة '!$A$5:$A$54,'التلاميذ للمعالجة الكفاءة 1'!I35-4),"")</f>
        <v/>
      </c>
      <c r="D39" s="30" t="str">
        <f>IFERROR(INDEX('بيانات التلاميذ في المادة '!$A$5:$A$54,'التلاميذ للمعالجة الكفاءة 1'!K35-4),"")</f>
        <v/>
      </c>
      <c r="E39" s="31" t="str">
        <f>IFERROR(INDEX('بيانات التلاميذ في المادة '!$A$5:$A$54,'التلاميذ للمعالجة الكفاءة 1'!M35-4),"")</f>
        <v/>
      </c>
      <c r="F39" s="45" t="str">
        <f>IF(OR('بيانات التلاميذ في المادة '!C37="ج",'بيانات التلاميذ في المادة '!C37=("د")),ROW()-2,"")</f>
        <v/>
      </c>
      <c r="G39" s="45" t="str">
        <f t="shared" si="1"/>
        <v/>
      </c>
      <c r="H39" s="45" t="str">
        <f>IF(OR('بيانات التلاميذ في المادة '!D37="ج",'بيانات التلاميذ في المادة '!D37=("د")),ROW()-2,"")</f>
        <v/>
      </c>
      <c r="I39" s="45" t="str">
        <f t="shared" si="2"/>
        <v/>
      </c>
      <c r="J39" s="10" t="str">
        <f>IF(OR('بيانات التلاميذ في المادة '!E37="ج",'بيانات التلاميذ في المادة '!E37=("د")),ROW()-2,"")</f>
        <v/>
      </c>
      <c r="K39" s="10" t="str">
        <f t="shared" si="3"/>
        <v/>
      </c>
      <c r="L39" s="10" t="str">
        <f>IF(OR('بيانات التلاميذ في المادة '!F37="ج",'بيانات التلاميذ في المادة '!F37=("د")),ROW()-2,"")</f>
        <v/>
      </c>
      <c r="M39" s="10" t="str">
        <f t="shared" si="4"/>
        <v/>
      </c>
    </row>
    <row r="40" spans="1:13" x14ac:dyDescent="0.25">
      <c r="A40" s="32" t="str">
        <f t="shared" si="5"/>
        <v/>
      </c>
      <c r="B40" s="30" t="str">
        <f>IFERROR(INDEX('بيانات التلاميذ في المادة '!$A$5:$A$54,'التلاميذ للمعالجة الكفاءة 1'!G36-4),"")</f>
        <v/>
      </c>
      <c r="C40" s="30" t="str">
        <f>IFERROR(INDEX('بيانات التلاميذ في المادة '!$A$5:$A$54,'التلاميذ للمعالجة الكفاءة 1'!I36-4),"")</f>
        <v/>
      </c>
      <c r="D40" s="30" t="str">
        <f>IFERROR(INDEX('بيانات التلاميذ في المادة '!$A$5:$A$54,'التلاميذ للمعالجة الكفاءة 1'!K36-4),"")</f>
        <v/>
      </c>
      <c r="E40" s="31" t="str">
        <f>IFERROR(INDEX('بيانات التلاميذ في المادة '!$A$5:$A$54,'التلاميذ للمعالجة الكفاءة 1'!M36-4),"")</f>
        <v/>
      </c>
      <c r="F40" s="45" t="str">
        <f>IF(OR('بيانات التلاميذ في المادة '!C38="ج",'بيانات التلاميذ في المادة '!C38=("د")),ROW()-2,"")</f>
        <v/>
      </c>
      <c r="G40" s="45" t="str">
        <f t="shared" si="1"/>
        <v/>
      </c>
      <c r="H40" s="45" t="str">
        <f>IF(OR('بيانات التلاميذ في المادة '!D38="ج",'بيانات التلاميذ في المادة '!D38=("د")),ROW()-2,"")</f>
        <v/>
      </c>
      <c r="I40" s="45" t="str">
        <f t="shared" si="2"/>
        <v/>
      </c>
      <c r="J40" s="10" t="str">
        <f>IF(OR('بيانات التلاميذ في المادة '!E38="ج",'بيانات التلاميذ في المادة '!E38=("د")),ROW()-2,"")</f>
        <v/>
      </c>
      <c r="K40" s="10" t="str">
        <f t="shared" si="3"/>
        <v/>
      </c>
      <c r="L40" s="10" t="str">
        <f>IF(OR('بيانات التلاميذ في المادة '!F38="ج",'بيانات التلاميذ في المادة '!F38=("د")),ROW()-2,"")</f>
        <v/>
      </c>
      <c r="M40" s="10" t="str">
        <f t="shared" si="4"/>
        <v/>
      </c>
    </row>
    <row r="41" spans="1:13" x14ac:dyDescent="0.25">
      <c r="A41" s="32" t="str">
        <f t="shared" si="5"/>
        <v/>
      </c>
      <c r="B41" s="30" t="str">
        <f>IFERROR(INDEX('بيانات التلاميذ في المادة '!$A$5:$A$54,'التلاميذ للمعالجة الكفاءة 1'!G37-4),"")</f>
        <v/>
      </c>
      <c r="C41" s="30" t="str">
        <f>IFERROR(INDEX('بيانات التلاميذ في المادة '!$A$5:$A$54,'التلاميذ للمعالجة الكفاءة 1'!I37-4),"")</f>
        <v/>
      </c>
      <c r="D41" s="30" t="str">
        <f>IFERROR(INDEX('بيانات التلاميذ في المادة '!$A$5:$A$54,'التلاميذ للمعالجة الكفاءة 1'!K37-4),"")</f>
        <v/>
      </c>
      <c r="E41" s="31" t="str">
        <f>IFERROR(INDEX('بيانات التلاميذ في المادة '!$A$5:$A$54,'التلاميذ للمعالجة الكفاءة 1'!M37-4),"")</f>
        <v/>
      </c>
      <c r="F41" s="45" t="str">
        <f>IF(OR('بيانات التلاميذ في المادة '!C39="ج",'بيانات التلاميذ في المادة '!C39=("د")),ROW()-2,"")</f>
        <v/>
      </c>
      <c r="G41" s="45" t="str">
        <f t="shared" si="1"/>
        <v/>
      </c>
      <c r="H41" s="45" t="str">
        <f>IF(OR('بيانات التلاميذ في المادة '!D39="ج",'بيانات التلاميذ في المادة '!D39=("د")),ROW()-2,"")</f>
        <v/>
      </c>
      <c r="I41" s="45" t="str">
        <f t="shared" si="2"/>
        <v/>
      </c>
      <c r="J41" s="10" t="str">
        <f>IF(OR('بيانات التلاميذ في المادة '!E39="ج",'بيانات التلاميذ في المادة '!E39=("د")),ROW()-2,"")</f>
        <v/>
      </c>
      <c r="K41" s="10" t="str">
        <f t="shared" si="3"/>
        <v/>
      </c>
      <c r="L41" s="10" t="str">
        <f>IF(OR('بيانات التلاميذ في المادة '!F39="ج",'بيانات التلاميذ في المادة '!F39=("د")),ROW()-2,"")</f>
        <v/>
      </c>
      <c r="M41" s="10" t="str">
        <f t="shared" si="4"/>
        <v/>
      </c>
    </row>
    <row r="42" spans="1:13" x14ac:dyDescent="0.25">
      <c r="A42" s="32" t="str">
        <f t="shared" si="5"/>
        <v/>
      </c>
      <c r="B42" s="30" t="str">
        <f>IFERROR(INDEX('بيانات التلاميذ في المادة '!$A$5:$A$54,'التلاميذ للمعالجة الكفاءة 1'!G38-4),"")</f>
        <v/>
      </c>
      <c r="C42" s="30" t="str">
        <f>IFERROR(INDEX('بيانات التلاميذ في المادة '!$A$5:$A$54,'التلاميذ للمعالجة الكفاءة 1'!I38-4),"")</f>
        <v/>
      </c>
      <c r="D42" s="30" t="str">
        <f>IFERROR(INDEX('بيانات التلاميذ في المادة '!$A$5:$A$54,'التلاميذ للمعالجة الكفاءة 1'!K38-4),"")</f>
        <v/>
      </c>
      <c r="E42" s="31" t="str">
        <f>IFERROR(INDEX('بيانات التلاميذ في المادة '!$A$5:$A$54,'التلاميذ للمعالجة الكفاءة 1'!M38-4),"")</f>
        <v/>
      </c>
      <c r="F42" s="45" t="str">
        <f>IF(OR('بيانات التلاميذ في المادة '!C40="ج",'بيانات التلاميذ في المادة '!C40=("د")),ROW()-2,"")</f>
        <v/>
      </c>
      <c r="G42" s="45" t="str">
        <f t="shared" si="1"/>
        <v/>
      </c>
      <c r="H42" s="45">
        <f>IF(OR('بيانات التلاميذ في المادة '!D40="ج",'بيانات التلاميذ في المادة '!D40=("د")),ROW()-2,"")</f>
        <v>40</v>
      </c>
      <c r="I42" s="45" t="str">
        <f t="shared" si="2"/>
        <v/>
      </c>
      <c r="J42" s="10" t="str">
        <f>IF(OR('بيانات التلاميذ في المادة '!E40="ج",'بيانات التلاميذ في المادة '!E40=("د")),ROW()-2,"")</f>
        <v/>
      </c>
      <c r="K42" s="10" t="str">
        <f t="shared" si="3"/>
        <v/>
      </c>
      <c r="L42" s="10" t="str">
        <f>IF(OR('بيانات التلاميذ في المادة '!F40="ج",'بيانات التلاميذ في المادة '!F40=("د")),ROW()-2,"")</f>
        <v/>
      </c>
      <c r="M42" s="10" t="str">
        <f t="shared" si="4"/>
        <v/>
      </c>
    </row>
    <row r="43" spans="1:13" x14ac:dyDescent="0.25">
      <c r="A43" s="32" t="str">
        <f t="shared" si="5"/>
        <v/>
      </c>
      <c r="B43" s="30" t="str">
        <f>IFERROR(INDEX('بيانات التلاميذ في المادة '!$A$5:$A$54,'التلاميذ للمعالجة الكفاءة 1'!G39-4),"")</f>
        <v/>
      </c>
      <c r="C43" s="30" t="str">
        <f>IFERROR(INDEX('بيانات التلاميذ في المادة '!$A$5:$A$54,'التلاميذ للمعالجة الكفاءة 1'!I39-4),"")</f>
        <v/>
      </c>
      <c r="D43" s="30" t="str">
        <f>IFERROR(INDEX('بيانات التلاميذ في المادة '!$A$5:$A$54,'التلاميذ للمعالجة الكفاءة 1'!K39-4),"")</f>
        <v/>
      </c>
      <c r="E43" s="31" t="str">
        <f>IFERROR(INDEX('بيانات التلاميذ في المادة '!$A$5:$A$54,'التلاميذ للمعالجة الكفاءة 1'!M39-4),"")</f>
        <v/>
      </c>
      <c r="F43" s="45" t="str">
        <f>IF(OR('بيانات التلاميذ في المادة '!C41="ج",'بيانات التلاميذ في المادة '!C41=("د")),ROW()-2,"")</f>
        <v/>
      </c>
      <c r="G43" s="45" t="str">
        <f t="shared" si="1"/>
        <v/>
      </c>
      <c r="H43" s="45" t="str">
        <f>IF(OR('بيانات التلاميذ في المادة '!D41="ج",'بيانات التلاميذ في المادة '!D41=("د")),ROW()-2,"")</f>
        <v/>
      </c>
      <c r="I43" s="45" t="str">
        <f t="shared" si="2"/>
        <v/>
      </c>
      <c r="J43" s="10" t="str">
        <f>IF(OR('بيانات التلاميذ في المادة '!E41="ج",'بيانات التلاميذ في المادة '!E41=("د")),ROW()-2,"")</f>
        <v/>
      </c>
      <c r="K43" s="10" t="str">
        <f t="shared" si="3"/>
        <v/>
      </c>
      <c r="L43" s="10" t="str">
        <f>IF(OR('بيانات التلاميذ في المادة '!F41="ج",'بيانات التلاميذ في المادة '!F41=("د")),ROW()-2,"")</f>
        <v/>
      </c>
      <c r="M43" s="10" t="str">
        <f t="shared" si="4"/>
        <v/>
      </c>
    </row>
    <row r="44" spans="1:13" x14ac:dyDescent="0.25">
      <c r="A44" s="32" t="str">
        <f t="shared" si="5"/>
        <v/>
      </c>
      <c r="B44" s="30" t="str">
        <f>IFERROR(INDEX('بيانات التلاميذ في المادة '!$A$5:$A$54,'التلاميذ للمعالجة الكفاءة 1'!G40-4),"")</f>
        <v/>
      </c>
      <c r="C44" s="30" t="str">
        <f>IFERROR(INDEX('بيانات التلاميذ في المادة '!$A$5:$A$54,'التلاميذ للمعالجة الكفاءة 1'!I40-4),"")</f>
        <v/>
      </c>
      <c r="D44" s="30" t="str">
        <f>IFERROR(INDEX('بيانات التلاميذ في المادة '!$A$5:$A$54,'التلاميذ للمعالجة الكفاءة 1'!K40-4),"")</f>
        <v/>
      </c>
      <c r="E44" s="31" t="str">
        <f>IFERROR(INDEX('بيانات التلاميذ في المادة '!$A$5:$A$54,'التلاميذ للمعالجة الكفاءة 1'!M40-4),"")</f>
        <v/>
      </c>
      <c r="F44" s="45" t="str">
        <f>IF(OR('بيانات التلاميذ في المادة '!C42="ج",'بيانات التلاميذ في المادة '!C42=("د")),ROW()-2,"")</f>
        <v/>
      </c>
      <c r="G44" s="45" t="str">
        <f t="shared" si="1"/>
        <v/>
      </c>
      <c r="H44" s="45" t="str">
        <f>IF(OR('بيانات التلاميذ في المادة '!D42="ج",'بيانات التلاميذ في المادة '!D42=("د")),ROW()-2,"")</f>
        <v/>
      </c>
      <c r="I44" s="45" t="str">
        <f t="shared" si="2"/>
        <v/>
      </c>
      <c r="J44" s="10" t="str">
        <f>IF(OR('بيانات التلاميذ في المادة '!E42="ج",'بيانات التلاميذ في المادة '!E42=("د")),ROW()-2,"")</f>
        <v/>
      </c>
      <c r="K44" s="10" t="str">
        <f t="shared" si="3"/>
        <v/>
      </c>
      <c r="L44" s="10" t="str">
        <f>IF(OR('بيانات التلاميذ في المادة '!F42="ج",'بيانات التلاميذ في المادة '!F42=("د")),ROW()-2,"")</f>
        <v/>
      </c>
      <c r="M44" s="10" t="str">
        <f t="shared" si="4"/>
        <v/>
      </c>
    </row>
    <row r="45" spans="1:13" ht="15.75" thickBot="1" x14ac:dyDescent="0.3">
      <c r="A45" s="51" t="str">
        <f t="shared" si="5"/>
        <v/>
      </c>
      <c r="B45" s="52" t="str">
        <f>IFERROR(INDEX('بيانات التلاميذ في المادة '!$A$5:$A$54,'التلاميذ للمعالجة الكفاءة 1'!G41-4),"")</f>
        <v/>
      </c>
      <c r="C45" s="52" t="str">
        <f>IFERROR(INDEX('بيانات التلاميذ في المادة '!$A$5:$A$54,'التلاميذ للمعالجة الكفاءة 1'!I41-4),"")</f>
        <v/>
      </c>
      <c r="D45" s="52" t="str">
        <f>IFERROR(INDEX('بيانات التلاميذ في المادة '!$A$5:$A$54,'التلاميذ للمعالجة الكفاءة 1'!K41-4),"")</f>
        <v/>
      </c>
      <c r="E45" s="53" t="str">
        <f>IFERROR(INDEX('بيانات التلاميذ في المادة '!$A$5:$A$54,'التلاميذ للمعالجة الكفاءة 1'!M41-4),"")</f>
        <v/>
      </c>
      <c r="F45" s="45" t="str">
        <f>IF(OR('بيانات التلاميذ في المادة '!C43="ج",'بيانات التلاميذ في المادة '!C43=("د")),ROW()-2,"")</f>
        <v/>
      </c>
      <c r="G45" s="45" t="str">
        <f t="shared" si="1"/>
        <v/>
      </c>
      <c r="H45" s="45" t="str">
        <f>IF(OR('بيانات التلاميذ في المادة '!D43="ج",'بيانات التلاميذ في المادة '!D43=("د")),ROW()-2,"")</f>
        <v/>
      </c>
      <c r="I45" s="45" t="str">
        <f t="shared" si="2"/>
        <v/>
      </c>
      <c r="J45" s="10" t="str">
        <f>IF(OR('بيانات التلاميذ في المادة '!E43="ج",'بيانات التلاميذ في المادة '!E43=("د")),ROW()-2,"")</f>
        <v/>
      </c>
      <c r="K45" s="10" t="str">
        <f t="shared" si="3"/>
        <v/>
      </c>
      <c r="L45" s="10" t="str">
        <f>IF(OR('بيانات التلاميذ في المادة '!F43="ج",'بيانات التلاميذ في المادة '!F43=("د")),ROW()-2,"")</f>
        <v/>
      </c>
      <c r="M45" s="10" t="str">
        <f t="shared" si="4"/>
        <v/>
      </c>
    </row>
    <row r="46" spans="1:13" ht="15.75" thickBot="1" x14ac:dyDescent="0.3">
      <c r="A46" s="46"/>
      <c r="B46" s="46"/>
      <c r="C46" s="46"/>
      <c r="D46" s="46"/>
      <c r="E46" s="46"/>
      <c r="F46" s="45" t="str">
        <f>IF(OR('بيانات التلاميذ في المادة '!C44="ج",'بيانات التلاميذ في المادة '!C44=("د")),ROW()-2,"")</f>
        <v/>
      </c>
      <c r="G46" s="45" t="str">
        <f t="shared" si="1"/>
        <v/>
      </c>
      <c r="H46" s="45" t="str">
        <f>IF(OR('بيانات التلاميذ في المادة '!D44="ج",'بيانات التلاميذ في المادة '!D44=("د")),ROW()-2,"")</f>
        <v/>
      </c>
      <c r="I46" s="45" t="str">
        <f t="shared" si="2"/>
        <v/>
      </c>
      <c r="J46" s="10" t="str">
        <f>IF(OR('بيانات التلاميذ في المادة '!E44="ج",'بيانات التلاميذ في المادة '!E44=("د")),ROW()-2,"")</f>
        <v/>
      </c>
      <c r="K46" s="10" t="str">
        <f t="shared" si="3"/>
        <v/>
      </c>
      <c r="L46" s="10" t="str">
        <f>IF(OR('بيانات التلاميذ في المادة '!F44="ج",'بيانات التلاميذ في المادة '!F44=("د")),ROW()-2,"")</f>
        <v/>
      </c>
      <c r="M46" s="10" t="str">
        <f t="shared" si="4"/>
        <v/>
      </c>
    </row>
    <row r="47" spans="1:13" ht="15" customHeight="1" x14ac:dyDescent="0.25">
      <c r="A47" s="54" t="s">
        <v>0</v>
      </c>
      <c r="B47" s="55">
        <f>'بيانات التلاميذ في المادة '!C55/COUNTA('بيانات التلاميذ في المادة '!$G$5:$G$54)</f>
        <v>0.38636363636363635</v>
      </c>
      <c r="C47" s="55">
        <f>'بيانات التلاميذ في المادة '!D55/COUNTA('بيانات التلاميذ في المادة '!$G$5:$G$54)</f>
        <v>0.40909090909090912</v>
      </c>
      <c r="D47" s="55">
        <f>'بيانات التلاميذ في المادة '!E55/COUNTA('بيانات التلاميذ في المادة '!$G$5:$G$54)</f>
        <v>0.38636363636363635</v>
      </c>
      <c r="E47" s="56">
        <f>'بيانات التلاميذ في المادة '!F55/COUNTA('بيانات التلاميذ في المادة '!$G$5:$G$54)</f>
        <v>0.38636363636363635</v>
      </c>
      <c r="F47" s="45" t="str">
        <f>IF(OR('بيانات التلاميذ في المادة '!C45="ج",'بيانات التلاميذ في المادة '!C45=("د")),ROW()-2,"")</f>
        <v/>
      </c>
      <c r="G47" s="45" t="str">
        <f t="shared" si="1"/>
        <v/>
      </c>
      <c r="H47" s="45" t="str">
        <f>IF(OR('بيانات التلاميذ في المادة '!D45="ج",'بيانات التلاميذ في المادة '!D45=("د")),ROW()-2,"")</f>
        <v/>
      </c>
      <c r="I47" s="45" t="str">
        <f t="shared" si="2"/>
        <v/>
      </c>
      <c r="J47" s="10" t="str">
        <f>IF(OR('بيانات التلاميذ في المادة '!E45="ج",'بيانات التلاميذ في المادة '!E45=("د")),ROW()-2,"")</f>
        <v/>
      </c>
      <c r="K47" s="10" t="str">
        <f t="shared" si="3"/>
        <v/>
      </c>
      <c r="L47" s="10" t="str">
        <f>IF(OR('بيانات التلاميذ في المادة '!F45="ج",'بيانات التلاميذ في المادة '!F45=("د")),ROW()-2,"")</f>
        <v/>
      </c>
      <c r="M47" s="10" t="str">
        <f t="shared" si="4"/>
        <v/>
      </c>
    </row>
    <row r="48" spans="1:13" ht="15" customHeight="1" x14ac:dyDescent="0.25">
      <c r="A48" s="57" t="s">
        <v>1</v>
      </c>
      <c r="B48" s="48">
        <f>'بيانات التلاميذ في المادة '!C56/COUNTA('بيانات التلاميذ في المادة '!$G$5:$G$54)</f>
        <v>0.29545454545454547</v>
      </c>
      <c r="C48" s="48">
        <f>'بيانات التلاميذ في المادة '!D56/COUNTA('بيانات التلاميذ في المادة '!$G$5:$G$54)</f>
        <v>0.22727272727272727</v>
      </c>
      <c r="D48" s="48">
        <f>'بيانات التلاميذ في المادة '!E56/COUNTA('بيانات التلاميذ في المادة '!$G$5:$G$54)</f>
        <v>0.34090909090909088</v>
      </c>
      <c r="E48" s="58">
        <f>'بيانات التلاميذ في المادة '!F56/COUNTA('بيانات التلاميذ في المادة '!$G$5:$G$54)</f>
        <v>0.29545454545454547</v>
      </c>
      <c r="F48" s="45" t="str">
        <f>IF(OR('بيانات التلاميذ في المادة '!C46="ج",'بيانات التلاميذ في المادة '!C46=("د")),ROW()-2,"")</f>
        <v/>
      </c>
      <c r="G48" s="45" t="str">
        <f t="shared" si="1"/>
        <v/>
      </c>
      <c r="H48" s="45" t="str">
        <f>IF(OR('بيانات التلاميذ في المادة '!D46="ج",'بيانات التلاميذ في المادة '!D46=("د")),ROW()-2,"")</f>
        <v/>
      </c>
      <c r="I48" s="45" t="str">
        <f t="shared" si="2"/>
        <v/>
      </c>
      <c r="J48" s="10" t="str">
        <f>IF(OR('بيانات التلاميذ في المادة '!E46="ج",'بيانات التلاميذ في المادة '!E46=("د")),ROW()-2,"")</f>
        <v/>
      </c>
      <c r="K48" s="10" t="str">
        <f t="shared" si="3"/>
        <v/>
      </c>
      <c r="L48" s="10" t="str">
        <f>IF(OR('بيانات التلاميذ في المادة '!F46="ج",'بيانات التلاميذ في المادة '!F46=("د")),ROW()-2,"")</f>
        <v/>
      </c>
      <c r="M48" s="10" t="str">
        <f t="shared" si="4"/>
        <v/>
      </c>
    </row>
    <row r="49" spans="1:13" ht="15" customHeight="1" x14ac:dyDescent="0.25">
      <c r="A49" s="57" t="s">
        <v>2</v>
      </c>
      <c r="B49" s="48">
        <f>'بيانات التلاميذ في المادة '!C57/COUNTA('بيانات التلاميذ في المادة '!$G$5:$G$54)</f>
        <v>0.15909090909090909</v>
      </c>
      <c r="C49" s="48">
        <f>'بيانات التلاميذ في المادة '!D57/COUNTA('بيانات التلاميذ في المادة '!$G$5:$G$54)</f>
        <v>0.25</v>
      </c>
      <c r="D49" s="48">
        <f>'بيانات التلاميذ في المادة '!E57/COUNTA('بيانات التلاميذ في المادة '!$G$5:$G$54)</f>
        <v>0.15909090909090909</v>
      </c>
      <c r="E49" s="58">
        <f>'بيانات التلاميذ في المادة '!F57/COUNTA('بيانات التلاميذ في المادة '!$G$5:$G$54)</f>
        <v>0.15909090909090909</v>
      </c>
      <c r="F49" s="45" t="str">
        <f>IF(OR('بيانات التلاميذ في المادة '!C47="ج",'بيانات التلاميذ في المادة '!C47=("د")),ROW()-2,"")</f>
        <v/>
      </c>
      <c r="G49" s="45" t="str">
        <f t="shared" si="1"/>
        <v/>
      </c>
      <c r="H49" s="45" t="str">
        <f>IF(OR('بيانات التلاميذ في المادة '!D47="ج",'بيانات التلاميذ في المادة '!D47=("د")),ROW()-2,"")</f>
        <v/>
      </c>
      <c r="I49" s="45" t="str">
        <f t="shared" si="2"/>
        <v/>
      </c>
      <c r="J49" s="10" t="str">
        <f>IF(OR('بيانات التلاميذ في المادة '!E47="ج",'بيانات التلاميذ في المادة '!E47=("د")),ROW()-2,"")</f>
        <v/>
      </c>
      <c r="K49" s="10" t="str">
        <f t="shared" si="3"/>
        <v/>
      </c>
      <c r="L49" s="10" t="str">
        <f>IF(OR('بيانات التلاميذ في المادة '!F47="ج",'بيانات التلاميذ في المادة '!F47=("د")),ROW()-2,"")</f>
        <v/>
      </c>
      <c r="M49" s="10" t="str">
        <f t="shared" si="4"/>
        <v/>
      </c>
    </row>
    <row r="50" spans="1:13" ht="15" customHeight="1" x14ac:dyDescent="0.25">
      <c r="A50" s="57" t="s">
        <v>3</v>
      </c>
      <c r="B50" s="48">
        <f>'بيانات التلاميذ في المادة '!C58/COUNTA('بيانات التلاميذ في المادة '!$G$5:$G$54)</f>
        <v>6.8181818181818177E-2</v>
      </c>
      <c r="C50" s="48">
        <f>'بيانات التلاميذ في المادة '!D58/COUNTA('بيانات التلاميذ في المادة '!$G$5:$G$54)</f>
        <v>2.2727272727272728E-2</v>
      </c>
      <c r="D50" s="48">
        <f>'بيانات التلاميذ في المادة '!E58/COUNTA('بيانات التلاميذ في المادة '!$G$5:$G$54)</f>
        <v>2.2727272727272728E-2</v>
      </c>
      <c r="E50" s="58">
        <f>'بيانات التلاميذ في المادة '!F58/COUNTA('بيانات التلاميذ في المادة '!$G$5:$G$54)</f>
        <v>6.8181818181818177E-2</v>
      </c>
      <c r="F50" s="45" t="str">
        <f>IF(OR('بيانات التلاميذ في المادة '!C48="ج",'بيانات التلاميذ في المادة '!C48=("د")),ROW()-2,"")</f>
        <v/>
      </c>
      <c r="G50" s="45" t="str">
        <f t="shared" si="1"/>
        <v/>
      </c>
      <c r="H50" s="45" t="str">
        <f>IF(OR('بيانات التلاميذ في المادة '!D48="ج",'بيانات التلاميذ في المادة '!D48=("د")),ROW()-2,"")</f>
        <v/>
      </c>
      <c r="I50" s="45" t="str">
        <f t="shared" si="2"/>
        <v/>
      </c>
      <c r="J50" s="10" t="str">
        <f>IF(OR('بيانات التلاميذ في المادة '!E48="ج",'بيانات التلاميذ في المادة '!E48=("د")),ROW()-2,"")</f>
        <v/>
      </c>
      <c r="K50" s="10" t="str">
        <f t="shared" si="3"/>
        <v/>
      </c>
      <c r="L50" s="10" t="str">
        <f>IF(OR('بيانات التلاميذ في المادة '!F48="ج",'بيانات التلاميذ في المادة '!F48=("د")),ROW()-2,"")</f>
        <v/>
      </c>
      <c r="M50" s="10" t="str">
        <f t="shared" si="4"/>
        <v/>
      </c>
    </row>
    <row r="51" spans="1:13" ht="15" customHeight="1" thickBot="1" x14ac:dyDescent="0.3">
      <c r="A51" s="66" t="s">
        <v>44</v>
      </c>
      <c r="B51" s="59">
        <f>'بيانات التلاميذ في المادة '!C59/COUNTA('بيانات التلاميذ في المادة '!$G$5:$G$54)</f>
        <v>9.0909090909090912E-2</v>
      </c>
      <c r="C51" s="59">
        <f>'بيانات التلاميذ في المادة '!D59/COUNTA('بيانات التلاميذ في المادة '!$G$5:$G$54)</f>
        <v>9.0909090909090912E-2</v>
      </c>
      <c r="D51" s="59">
        <f>'بيانات التلاميذ في المادة '!E59/COUNTA('بيانات التلاميذ في المادة '!$G$5:$G$54)</f>
        <v>9.0909090909090912E-2</v>
      </c>
      <c r="E51" s="60">
        <f>'بيانات التلاميذ في المادة '!F59/COUNTA('بيانات التلاميذ في المادة '!$G$5:$G$54)</f>
        <v>9.0909090909090912E-2</v>
      </c>
      <c r="F51" s="45" t="str">
        <f>IF(OR('بيانات التلاميذ في المادة '!C49="ج",'بيانات التلاميذ في المادة '!C49=("د")),ROW()-2,"")</f>
        <v/>
      </c>
      <c r="G51" s="45" t="str">
        <f t="shared" si="1"/>
        <v/>
      </c>
      <c r="H51" s="45" t="str">
        <f>IF(OR('بيانات التلاميذ في المادة '!D49="ج",'بيانات التلاميذ في المادة '!D49=("د")),ROW()-2,"")</f>
        <v/>
      </c>
      <c r="I51" s="45" t="str">
        <f t="shared" si="2"/>
        <v/>
      </c>
      <c r="J51" s="10" t="str">
        <f>IF(OR('بيانات التلاميذ في المادة '!E49="ج",'بيانات التلاميذ في المادة '!E49=("د")),ROW()-2,"")</f>
        <v/>
      </c>
      <c r="K51" s="10" t="str">
        <f t="shared" si="3"/>
        <v/>
      </c>
      <c r="L51" s="10" t="str">
        <f>IF(OR('بيانات التلاميذ في المادة '!F49="ج",'بيانات التلاميذ في المادة '!F49=("د")),ROW()-2,"")</f>
        <v/>
      </c>
      <c r="M51" s="10" t="str">
        <f t="shared" si="4"/>
        <v/>
      </c>
    </row>
    <row r="52" spans="1:13" ht="15" customHeight="1" x14ac:dyDescent="0.25">
      <c r="A52" s="47"/>
      <c r="F52" s="45" t="str">
        <f>IF(OR('بيانات التلاميذ في المادة '!C50="ج",'بيانات التلاميذ في المادة '!C50=("د")),ROW()-2,"")</f>
        <v/>
      </c>
      <c r="G52" s="45" t="str">
        <f t="shared" si="1"/>
        <v/>
      </c>
      <c r="H52" s="45" t="str">
        <f>IF(OR('بيانات التلاميذ في المادة '!D50="ج",'بيانات التلاميذ في المادة '!D50=("د")),ROW()-2,"")</f>
        <v/>
      </c>
      <c r="I52" s="45" t="str">
        <f t="shared" si="2"/>
        <v/>
      </c>
      <c r="J52" s="10" t="str">
        <f>IF(OR('بيانات التلاميذ في المادة '!E50="ج",'بيانات التلاميذ في المادة '!E50=("د")),ROW()-2,"")</f>
        <v/>
      </c>
      <c r="K52" s="10" t="str">
        <f t="shared" si="3"/>
        <v/>
      </c>
      <c r="L52" s="10" t="str">
        <f>IF(OR('بيانات التلاميذ في المادة '!F50="ج",'بيانات التلاميذ في المادة '!F50=("د")),ROW()-2,"")</f>
        <v/>
      </c>
      <c r="M52" s="10" t="str">
        <f t="shared" si="4"/>
        <v/>
      </c>
    </row>
    <row r="53" spans="1:13" ht="15" customHeight="1" x14ac:dyDescent="0.25">
      <c r="A53" s="47"/>
      <c r="F53" s="45" t="str">
        <f>IF(OR('بيانات التلاميذ في المادة '!C51="ج",'بيانات التلاميذ في المادة '!C51=("د")),ROW()-2,"")</f>
        <v/>
      </c>
      <c r="G53" s="45" t="str">
        <f t="shared" si="1"/>
        <v/>
      </c>
      <c r="H53" s="45" t="str">
        <f>IF(OR('بيانات التلاميذ في المادة '!D51="ج",'بيانات التلاميذ في المادة '!D51=("د")),ROW()-2,"")</f>
        <v/>
      </c>
      <c r="I53" s="45" t="str">
        <f t="shared" si="2"/>
        <v/>
      </c>
      <c r="J53" s="10" t="str">
        <f>IF(OR('بيانات التلاميذ في المادة '!E51="ج",'بيانات التلاميذ في المادة '!E51=("د")),ROW()-2,"")</f>
        <v/>
      </c>
      <c r="K53" s="10" t="str">
        <f t="shared" si="3"/>
        <v/>
      </c>
      <c r="L53" s="10" t="str">
        <f>IF(OR('بيانات التلاميذ في المادة '!F51="ج",'بيانات التلاميذ في المادة '!F51=("د")),ROW()-2,"")</f>
        <v/>
      </c>
      <c r="M53" s="10" t="str">
        <f t="shared" si="4"/>
        <v/>
      </c>
    </row>
    <row r="54" spans="1:13" ht="15" customHeight="1" x14ac:dyDescent="0.25">
      <c r="A54" s="47"/>
      <c r="F54" s="45" t="str">
        <f>IF(OR('بيانات التلاميذ في المادة '!C52="ج",'بيانات التلاميذ في المادة '!C52=("د")),ROW()-2,"")</f>
        <v/>
      </c>
      <c r="G54" s="45" t="str">
        <f t="shared" si="1"/>
        <v/>
      </c>
      <c r="H54" s="45" t="str">
        <f>IF(OR('بيانات التلاميذ في المادة '!D52="ج",'بيانات التلاميذ في المادة '!D52=("د")),ROW()-2,"")</f>
        <v/>
      </c>
      <c r="I54" s="45" t="str">
        <f t="shared" si="2"/>
        <v/>
      </c>
      <c r="J54" s="10" t="str">
        <f>IF(OR('بيانات التلاميذ في المادة '!E52="ج",'بيانات التلاميذ في المادة '!E52=("د")),ROW()-2,"")</f>
        <v/>
      </c>
      <c r="K54" s="10" t="str">
        <f t="shared" si="3"/>
        <v/>
      </c>
      <c r="L54" s="10" t="str">
        <f>IF(OR('بيانات التلاميذ في المادة '!F52="ج",'بيانات التلاميذ في المادة '!F52=("د")),ROW()-2,"")</f>
        <v/>
      </c>
      <c r="M54" s="10" t="str">
        <f t="shared" si="4"/>
        <v/>
      </c>
    </row>
  </sheetData>
  <sheetProtection algorithmName="SHA-512" hashValue="t6ubVvP4i2ErxL4AM9Nwsr5yFovvXbkHalU6284Np5yV8XuXe37RFAWQrdpBmxPfCXTTZ6Y5WIkpDgES/UFXnw==" saltValue="YRYyWT88noozucpwRA9hgQ==" spinCount="100000" sheet="1" objects="1" scenarios="1"/>
  <mergeCells count="21">
    <mergeCell ref="A7:E7"/>
    <mergeCell ref="A5:B5"/>
    <mergeCell ref="D9:D10"/>
    <mergeCell ref="E9:E10"/>
    <mergeCell ref="A6:E6"/>
    <mergeCell ref="A9:A10"/>
    <mergeCell ref="B9:B10"/>
    <mergeCell ref="C9:C10"/>
    <mergeCell ref="A2:E2"/>
    <mergeCell ref="D4:E4"/>
    <mergeCell ref="D5:E5"/>
    <mergeCell ref="D3:E3"/>
    <mergeCell ref="A3:B3"/>
    <mergeCell ref="A4:B4"/>
    <mergeCell ref="S1:U1"/>
    <mergeCell ref="H4:I4"/>
    <mergeCell ref="F6:G6"/>
    <mergeCell ref="H6:I6"/>
    <mergeCell ref="J6:K6"/>
    <mergeCell ref="L6:M6"/>
    <mergeCell ref="O1:R1"/>
  </mergeCells>
  <phoneticPr fontId="28" type="noConversion"/>
  <conditionalFormatting sqref="A54">
    <cfRule type="containsText" dxfId="43" priority="21" operator="containsText" text="د">
      <formula>NOT(ISERROR(SEARCH("د",A54)))</formula>
    </cfRule>
    <cfRule type="containsText" dxfId="42" priority="22" operator="containsText" text="ج">
      <formula>NOT(ISERROR(SEARCH("ج",A54)))</formula>
    </cfRule>
    <cfRule type="containsText" dxfId="41" priority="23" operator="containsText" text="ب">
      <formula>NOT(ISERROR(SEARCH("ب",A54)))</formula>
    </cfRule>
    <cfRule type="containsText" dxfId="40" priority="24" operator="containsText" text="أ">
      <formula>NOT(ISERROR(SEARCH("أ",A54)))</formula>
    </cfRule>
  </conditionalFormatting>
  <conditionalFormatting sqref="A52">
    <cfRule type="containsText" dxfId="39" priority="29" operator="containsText" text="د">
      <formula>NOT(ISERROR(SEARCH("د",A52)))</formula>
    </cfRule>
    <cfRule type="containsText" dxfId="38" priority="30" operator="containsText" text="ج">
      <formula>NOT(ISERROR(SEARCH("ج",A52)))</formula>
    </cfRule>
    <cfRule type="containsText" dxfId="37" priority="31" operator="containsText" text="ب">
      <formula>NOT(ISERROR(SEARCH("ب",A52)))</formula>
    </cfRule>
    <cfRule type="containsText" dxfId="36" priority="32" operator="containsText" text="أ">
      <formula>NOT(ISERROR(SEARCH("أ",A52)))</formula>
    </cfRule>
  </conditionalFormatting>
  <conditionalFormatting sqref="A53">
    <cfRule type="containsText" dxfId="35" priority="25" operator="containsText" text="د">
      <formula>NOT(ISERROR(SEARCH("د",A53)))</formula>
    </cfRule>
    <cfRule type="containsText" dxfId="34" priority="26" operator="containsText" text="ج">
      <formula>NOT(ISERROR(SEARCH("ج",A53)))</formula>
    </cfRule>
    <cfRule type="containsText" dxfId="33" priority="27" operator="containsText" text="ب">
      <formula>NOT(ISERROR(SEARCH("ب",A53)))</formula>
    </cfRule>
    <cfRule type="containsText" dxfId="32" priority="28" operator="containsText" text="أ">
      <formula>NOT(ISERROR(SEARCH("أ",A53)))</formula>
    </cfRule>
  </conditionalFormatting>
  <conditionalFormatting sqref="A50">
    <cfRule type="containsText" dxfId="31" priority="5" operator="containsText" text="د">
      <formula>NOT(ISERROR(SEARCH("د",A50)))</formula>
    </cfRule>
    <cfRule type="containsText" dxfId="30" priority="6" operator="containsText" text="ج">
      <formula>NOT(ISERROR(SEARCH("ج",A50)))</formula>
    </cfRule>
    <cfRule type="containsText" dxfId="29" priority="7" operator="containsText" text="ب">
      <formula>NOT(ISERROR(SEARCH("ب",A50)))</formula>
    </cfRule>
    <cfRule type="containsText" dxfId="28" priority="8" operator="containsText" text="أ">
      <formula>NOT(ISERROR(SEARCH("أ",A50)))</formula>
    </cfRule>
  </conditionalFormatting>
  <conditionalFormatting sqref="A47">
    <cfRule type="containsText" dxfId="27" priority="17" operator="containsText" text="د">
      <formula>NOT(ISERROR(SEARCH("د",A47)))</formula>
    </cfRule>
    <cfRule type="containsText" dxfId="26" priority="18" operator="containsText" text="ج">
      <formula>NOT(ISERROR(SEARCH("ج",A47)))</formula>
    </cfRule>
    <cfRule type="containsText" dxfId="25" priority="19" operator="containsText" text="ب">
      <formula>NOT(ISERROR(SEARCH("ب",A47)))</formula>
    </cfRule>
    <cfRule type="containsText" dxfId="24" priority="20" operator="containsText" text="أ">
      <formula>NOT(ISERROR(SEARCH("أ",A47)))</formula>
    </cfRule>
  </conditionalFormatting>
  <conditionalFormatting sqref="A48">
    <cfRule type="containsText" dxfId="23" priority="13" operator="containsText" text="د">
      <formula>NOT(ISERROR(SEARCH("د",A48)))</formula>
    </cfRule>
    <cfRule type="containsText" dxfId="22" priority="14" operator="containsText" text="ج">
      <formula>NOT(ISERROR(SEARCH("ج",A48)))</formula>
    </cfRule>
    <cfRule type="containsText" dxfId="21" priority="15" operator="containsText" text="ب">
      <formula>NOT(ISERROR(SEARCH("ب",A48)))</formula>
    </cfRule>
    <cfRule type="containsText" dxfId="20" priority="16" operator="containsText" text="أ">
      <formula>NOT(ISERROR(SEARCH("أ",A48)))</formula>
    </cfRule>
  </conditionalFormatting>
  <conditionalFormatting sqref="A49">
    <cfRule type="containsText" dxfId="19" priority="9" operator="containsText" text="د">
      <formula>NOT(ISERROR(SEARCH("د",A49)))</formula>
    </cfRule>
    <cfRule type="containsText" dxfId="18" priority="10" operator="containsText" text="ج">
      <formula>NOT(ISERROR(SEARCH("ج",A49)))</formula>
    </cfRule>
    <cfRule type="containsText" dxfId="17" priority="11" operator="containsText" text="ب">
      <formula>NOT(ISERROR(SEARCH("ب",A49)))</formula>
    </cfRule>
    <cfRule type="containsText" dxfId="16" priority="12" operator="containsText" text="أ">
      <formula>NOT(ISERROR(SEARCH("أ",A49)))</formula>
    </cfRule>
  </conditionalFormatting>
  <pageMargins left="0.31496062992125984" right="0.47244094488188981" top="0.35433070866141736" bottom="0.35433070866141736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16BD-101A-43EC-BAEC-D172CCB7078F}">
  <dimension ref="A1:U54"/>
  <sheetViews>
    <sheetView rightToLeft="1" zoomScaleNormal="100" workbookViewId="0"/>
  </sheetViews>
  <sheetFormatPr baseColWidth="10" defaultRowHeight="15" x14ac:dyDescent="0.25"/>
  <cols>
    <col min="1" max="1" width="10.7109375" style="10" customWidth="1"/>
    <col min="2" max="5" width="20.7109375" style="10" customWidth="1"/>
    <col min="6" max="6" width="11.42578125" style="10" hidden="1" customWidth="1"/>
    <col min="7" max="9" width="12.7109375" style="10" hidden="1" customWidth="1"/>
    <col min="10" max="10" width="11.140625" style="10" hidden="1" customWidth="1"/>
    <col min="11" max="11" width="11.42578125" style="10" hidden="1" customWidth="1"/>
    <col min="12" max="12" width="11.42578125" style="45" customWidth="1"/>
    <col min="13" max="13" width="11.42578125" style="10" customWidth="1"/>
    <col min="14" max="16384" width="11.42578125" style="10"/>
  </cols>
  <sheetData>
    <row r="1" spans="1:21" x14ac:dyDescent="0.25">
      <c r="A1" s="33"/>
      <c r="B1" s="34"/>
      <c r="C1" s="34"/>
      <c r="D1" s="34"/>
      <c r="E1" s="35"/>
      <c r="O1" s="117"/>
      <c r="P1" s="117"/>
      <c r="Q1" s="117"/>
      <c r="R1" s="117"/>
      <c r="S1" s="117"/>
      <c r="T1" s="117"/>
      <c r="U1" s="117"/>
    </row>
    <row r="2" spans="1:21" ht="24.75" customHeight="1" x14ac:dyDescent="0.25">
      <c r="A2" s="120" t="s">
        <v>22</v>
      </c>
      <c r="B2" s="121"/>
      <c r="C2" s="121"/>
      <c r="D2" s="121"/>
      <c r="E2" s="122"/>
      <c r="I2" s="12"/>
      <c r="J2" s="12"/>
      <c r="K2" s="45"/>
    </row>
    <row r="3" spans="1:21" ht="21.75" customHeight="1" x14ac:dyDescent="0.25">
      <c r="A3" s="127" t="s">
        <v>37</v>
      </c>
      <c r="B3" s="123"/>
      <c r="C3" s="65"/>
      <c r="D3" s="121" t="s">
        <v>39</v>
      </c>
      <c r="E3" s="122"/>
      <c r="F3" s="11"/>
      <c r="G3" s="12"/>
      <c r="H3" s="12"/>
      <c r="I3" s="12"/>
      <c r="J3" s="12"/>
      <c r="K3" s="45"/>
      <c r="M3" s="45"/>
    </row>
    <row r="4" spans="1:21" ht="21.75" customHeight="1" x14ac:dyDescent="0.25">
      <c r="A4" s="127" t="s">
        <v>38</v>
      </c>
      <c r="B4" s="123"/>
      <c r="C4" s="64"/>
      <c r="D4" s="123" t="s">
        <v>24</v>
      </c>
      <c r="E4" s="124"/>
      <c r="H4" s="118"/>
      <c r="I4" s="118"/>
      <c r="M4" s="45"/>
    </row>
    <row r="5" spans="1:21" ht="27" customHeight="1" x14ac:dyDescent="0.25">
      <c r="A5" s="127" t="s">
        <v>45</v>
      </c>
      <c r="B5" s="123"/>
      <c r="C5" s="65" t="str">
        <f>COUNTA('بيانات التلاميذ في المادة '!$G$5:$G$54)&amp;"  "&amp;"تلميذ(ة)"</f>
        <v>44  تلميذ(ة)</v>
      </c>
      <c r="D5" s="125" t="s">
        <v>23</v>
      </c>
      <c r="E5" s="126"/>
      <c r="M5" s="45"/>
    </row>
    <row r="6" spans="1:21" ht="28.5" customHeight="1" x14ac:dyDescent="0.25">
      <c r="A6" s="135" t="s">
        <v>40</v>
      </c>
      <c r="B6" s="136"/>
      <c r="C6" s="136"/>
      <c r="D6" s="136"/>
      <c r="E6" s="137"/>
      <c r="F6" s="119" t="s">
        <v>25</v>
      </c>
      <c r="G6" s="119"/>
      <c r="H6" s="119" t="s">
        <v>26</v>
      </c>
      <c r="I6" s="119"/>
      <c r="J6" s="119" t="s">
        <v>32</v>
      </c>
      <c r="K6" s="119"/>
      <c r="L6" s="119"/>
      <c r="M6" s="119"/>
    </row>
    <row r="7" spans="1:21" ht="15" customHeight="1" x14ac:dyDescent="0.25">
      <c r="A7" s="63"/>
      <c r="B7" s="142"/>
      <c r="C7" s="142"/>
      <c r="D7" s="142"/>
      <c r="E7" s="143"/>
      <c r="F7" s="45">
        <f>IF(OR('بيانات التلاميذ في المادة '!G5="ج",'بيانات التلاميذ في المادة '!G5=("د")),ROW()-2,"")</f>
        <v>5</v>
      </c>
      <c r="G7" s="45">
        <f>IFERROR(SMALL($F$7:$F$50,ROW()-6),"")</f>
        <v>5</v>
      </c>
      <c r="H7" s="45">
        <f>IF(OR('بيانات التلاميذ في المادة '!H5="ج",'بيانات التلاميذ في المادة '!H5=("د")),ROW()-2,"")</f>
        <v>5</v>
      </c>
      <c r="I7" s="45">
        <f t="shared" ref="I7:I24" si="0">IFERROR(SMALL($H$7:$H$50,ROW()-6),"")</f>
        <v>5</v>
      </c>
      <c r="J7" s="10">
        <f>IF(OR('بيانات التلاميذ في المادة '!I5="ج",'بيانات التلاميذ في المادة '!I5=("د")),ROW()-2,"")</f>
        <v>5</v>
      </c>
      <c r="K7" s="10">
        <f t="shared" ref="K7:K24" si="1">IFERROR(SMALL($J$7:$J$50,ROW()-6),"")</f>
        <v>5</v>
      </c>
      <c r="L7" s="10"/>
      <c r="N7" s="45"/>
    </row>
    <row r="8" spans="1:21" ht="18" customHeight="1" x14ac:dyDescent="0.25">
      <c r="A8" s="14"/>
      <c r="B8" s="79" t="str">
        <f>COUNTA(B11:B45)-COUNTBLANK(B11:B45)&amp;"  "&amp;"تلميذ(ة)"</f>
        <v>12  تلميذ(ة)</v>
      </c>
      <c r="C8" s="79" t="str">
        <f>COUNTA(C11:C45)-COUNTBLANK(C11:C45)&amp;"  "&amp;"تلميذ(ة)"</f>
        <v>13  تلميذ(ة)</v>
      </c>
      <c r="D8" s="80" t="str">
        <f>COUNTA(D11:D45)-COUNTBLANK(D11:D45)&amp;"  "&amp;"تلميذ(ة)"</f>
        <v>15  تلميذ(ة)</v>
      </c>
      <c r="E8" s="36"/>
      <c r="F8" s="45" t="str">
        <f>IF(OR('بيانات التلاميذ في المادة '!G6="ج",'بيانات التلاميذ في المادة '!G6=("د")),ROW()-2,"")</f>
        <v/>
      </c>
      <c r="G8" s="45">
        <f t="shared" ref="G8:G54" si="2">IFERROR(SMALL($F$7:$F$46,ROW()-6),"")</f>
        <v>11</v>
      </c>
      <c r="H8" s="45" t="str">
        <f>IF(OR('بيانات التلاميذ في المادة '!H6="ج",'بيانات التلاميذ في المادة '!H6=("د")),ROW()-2,"")</f>
        <v/>
      </c>
      <c r="I8" s="45">
        <f t="shared" si="0"/>
        <v>11</v>
      </c>
      <c r="J8" s="10" t="str">
        <f>IF(OR('بيانات التلاميذ في المادة '!I6="ج",'بيانات التلاميذ في المادة '!I6=("د")),ROW()-2,"")</f>
        <v/>
      </c>
      <c r="K8" s="10">
        <f t="shared" si="1"/>
        <v>8</v>
      </c>
      <c r="L8" s="10"/>
    </row>
    <row r="9" spans="1:21" x14ac:dyDescent="0.25">
      <c r="A9" s="138" t="s">
        <v>27</v>
      </c>
      <c r="B9" s="140" t="s">
        <v>28</v>
      </c>
      <c r="C9" s="140" t="s">
        <v>29</v>
      </c>
      <c r="D9" s="131" t="s">
        <v>30</v>
      </c>
      <c r="E9" s="144"/>
      <c r="F9" s="45" t="str">
        <f>IF(OR('بيانات التلاميذ في المادة '!G7="ج",'بيانات التلاميذ في المادة '!G7=("د")),ROW()-2,"")</f>
        <v/>
      </c>
      <c r="G9" s="45">
        <f t="shared" si="2"/>
        <v>12</v>
      </c>
      <c r="H9" s="45" t="str">
        <f>IF(OR('بيانات التلاميذ في المادة '!H7="ج",'بيانات التلاميذ في المادة '!H7=("د")),ROW()-2,"")</f>
        <v/>
      </c>
      <c r="I9" s="45">
        <f t="shared" si="0"/>
        <v>13</v>
      </c>
      <c r="J9" s="10" t="str">
        <f>IF(OR('بيانات التلاميذ في المادة '!I7="ج",'بيانات التلاميذ في المادة '!I7=("د")),ROW()-2,"")</f>
        <v/>
      </c>
      <c r="K9" s="10">
        <f t="shared" si="1"/>
        <v>11</v>
      </c>
      <c r="L9" s="10"/>
    </row>
    <row r="10" spans="1:21" x14ac:dyDescent="0.25">
      <c r="A10" s="139"/>
      <c r="B10" s="141"/>
      <c r="C10" s="141"/>
      <c r="D10" s="132"/>
      <c r="E10" s="144"/>
      <c r="F10" s="45" t="str">
        <f>IF(OR('بيانات التلاميذ في المادة '!G8="ج",'بيانات التلاميذ في المادة '!G8=("د")),ROW()-2,"")</f>
        <v/>
      </c>
      <c r="G10" s="45">
        <f t="shared" si="2"/>
        <v>14</v>
      </c>
      <c r="H10" s="45" t="str">
        <f>IF(OR('بيانات التلاميذ في المادة '!H8="ج",'بيانات التلاميذ في المادة '!H8=("د")),ROW()-2,"")</f>
        <v/>
      </c>
      <c r="I10" s="45">
        <f t="shared" si="0"/>
        <v>14</v>
      </c>
      <c r="J10" s="10">
        <f>IF(OR('بيانات التلاميذ في المادة '!I8="ج",'بيانات التلاميذ في المادة '!I8=("د")),ROW()-2,"")</f>
        <v>8</v>
      </c>
      <c r="K10" s="10">
        <f t="shared" si="1"/>
        <v>13</v>
      </c>
      <c r="L10" s="10"/>
    </row>
    <row r="11" spans="1:21" x14ac:dyDescent="0.25">
      <c r="A11" s="32">
        <f>IF(OR((B11&lt;&gt;""),(C11&lt;&gt;""),(D11&lt;&gt;""),(E11&lt;&gt;"")),ROW()-10,"")</f>
        <v>1</v>
      </c>
      <c r="B11" s="78" t="str">
        <f>IFERROR(INDEX('بيانات التلاميذ في المادة '!$A$5:$A$54,'التلاميذ للمعالجة الكفاءة 2'!G7-4),"")</f>
        <v>ريتاج أمبارك</v>
      </c>
      <c r="C11" s="78" t="str">
        <f>IFERROR(INDEX('بيانات التلاميذ في المادة '!$A$5:$A$54,'التلاميذ للمعالجة الكفاءة 2'!I7-4),"")</f>
        <v>ريتاج أمبارك</v>
      </c>
      <c r="D11" s="78" t="str">
        <f>IFERROR(INDEX('بيانات التلاميذ في المادة '!$A$5:$A$54,'التلاميذ للمعالجة الكفاءة 2'!K7-4),"")</f>
        <v>ريتاج أمبارك</v>
      </c>
      <c r="E11" s="36"/>
      <c r="F11" s="45" t="str">
        <f>IF(OR('بيانات التلاميذ في المادة '!G9="ج",'بيانات التلاميذ في المادة '!G9=("د")),ROW()-2,"")</f>
        <v/>
      </c>
      <c r="G11" s="45">
        <f t="shared" si="2"/>
        <v>15</v>
      </c>
      <c r="H11" s="45" t="str">
        <f>IF(OR('بيانات التلاميذ في المادة '!H9="ج",'بيانات التلاميذ في المادة '!H9=("د")),ROW()-2,"")</f>
        <v/>
      </c>
      <c r="I11" s="45">
        <f t="shared" si="0"/>
        <v>15</v>
      </c>
      <c r="J11" s="10" t="str">
        <f>IF(OR('بيانات التلاميذ في المادة '!I9="ج",'بيانات التلاميذ في المادة '!I9=("د")),ROW()-2,"")</f>
        <v/>
      </c>
      <c r="K11" s="10">
        <f t="shared" si="1"/>
        <v>14</v>
      </c>
      <c r="L11" s="10"/>
    </row>
    <row r="12" spans="1:21" x14ac:dyDescent="0.25">
      <c r="A12" s="32">
        <f t="shared" ref="A12:A45" si="3">IF(OR((B12&lt;&gt;""),(C12&lt;&gt;""),(D12&lt;&gt;""),(E12&lt;&gt;"")),ROW()-10,"")</f>
        <v>2</v>
      </c>
      <c r="B12" s="30" t="str">
        <f>IFERROR(INDEX('بيانات التلاميذ في المادة '!$A$5:$A$54,'التلاميذ للمعالجة الكفاءة 2'!G8-4),"")</f>
        <v>محمد بن طيب</v>
      </c>
      <c r="C12" s="30" t="str">
        <f>IFERROR(INDEX('بيانات التلاميذ في المادة '!$A$5:$A$54,'التلاميذ للمعالجة الكفاءة 2'!I8-4),"")</f>
        <v>محمد بن طيب</v>
      </c>
      <c r="D12" s="30" t="str">
        <f>IFERROR(INDEX('بيانات التلاميذ في المادة '!$A$5:$A$54,'التلاميذ للمعالجة الكفاءة 2'!K8-4),"")</f>
        <v>بن علي بن زوبير</v>
      </c>
      <c r="E12" s="36"/>
      <c r="F12" s="45" t="str">
        <f>IF(OR('بيانات التلاميذ في المادة '!G10="ج",'بيانات التلاميذ في المادة '!G10=("د")),ROW()-2,"")</f>
        <v/>
      </c>
      <c r="G12" s="45">
        <f t="shared" si="2"/>
        <v>17</v>
      </c>
      <c r="H12" s="45" t="str">
        <f>IF(OR('بيانات التلاميذ في المادة '!H10="ج",'بيانات التلاميذ في المادة '!H10=("د")),ROW()-2,"")</f>
        <v/>
      </c>
      <c r="I12" s="45">
        <f t="shared" si="0"/>
        <v>17</v>
      </c>
      <c r="J12" s="10" t="str">
        <f>IF(OR('بيانات التلاميذ في المادة '!I10="ج",'بيانات التلاميذ في المادة '!I10=("د")),ROW()-2,"")</f>
        <v/>
      </c>
      <c r="K12" s="10">
        <f t="shared" si="1"/>
        <v>15</v>
      </c>
      <c r="L12" s="10"/>
    </row>
    <row r="13" spans="1:21" x14ac:dyDescent="0.25">
      <c r="A13" s="32">
        <f t="shared" si="3"/>
        <v>3</v>
      </c>
      <c r="B13" s="30" t="str">
        <f>IFERROR(INDEX('بيانات التلاميذ في المادة '!$A$5:$A$54,'التلاميذ للمعالجة الكفاءة 2'!G9-4),"")</f>
        <v>نضال سليم بن عابد</v>
      </c>
      <c r="C13" s="30" t="str">
        <f>IFERROR(INDEX('بيانات التلاميذ في المادة '!$A$5:$A$54,'التلاميذ للمعالجة الكفاءة 2'!I9-4),"")</f>
        <v>شهرزاد بوراس</v>
      </c>
      <c r="D13" s="30" t="str">
        <f>IFERROR(INDEX('بيانات التلاميذ في المادة '!$A$5:$A$54,'التلاميذ للمعالجة الكفاءة 2'!K9-4),"")</f>
        <v>محمد بن طيب</v>
      </c>
      <c r="E13" s="36"/>
      <c r="F13" s="45">
        <f>IF(OR('بيانات التلاميذ في المادة '!G11="ج",'بيانات التلاميذ في المادة '!G11=("د")),ROW()-2,"")</f>
        <v>11</v>
      </c>
      <c r="G13" s="45">
        <f t="shared" si="2"/>
        <v>22</v>
      </c>
      <c r="H13" s="45">
        <f>IF(OR('بيانات التلاميذ في المادة '!H11="ج",'بيانات التلاميذ في المادة '!H11=("د")),ROW()-2,"")</f>
        <v>11</v>
      </c>
      <c r="I13" s="45">
        <f t="shared" si="0"/>
        <v>18</v>
      </c>
      <c r="J13" s="10">
        <f>IF(OR('بيانات التلاميذ في المادة '!I11="ج",'بيانات التلاميذ في المادة '!I11=("د")),ROW()-2,"")</f>
        <v>11</v>
      </c>
      <c r="K13" s="10">
        <f t="shared" si="1"/>
        <v>17</v>
      </c>
      <c r="L13" s="10"/>
    </row>
    <row r="14" spans="1:21" x14ac:dyDescent="0.25">
      <c r="A14" s="32">
        <f t="shared" si="3"/>
        <v>4</v>
      </c>
      <c r="B14" s="30" t="str">
        <f>IFERROR(INDEX('بيانات التلاميذ في المادة '!$A$5:$A$54,'التلاميذ للمعالجة الكفاءة 2'!G10-4),"")</f>
        <v>فراح بوزيتونة</v>
      </c>
      <c r="C14" s="30" t="str">
        <f>IFERROR(INDEX('بيانات التلاميذ في المادة '!$A$5:$A$54,'التلاميذ للمعالجة الكفاءة 2'!I10-4),"")</f>
        <v>فراح بوزيتونة</v>
      </c>
      <c r="D14" s="30" t="str">
        <f>IFERROR(INDEX('بيانات التلاميذ في المادة '!$A$5:$A$54,'التلاميذ للمعالجة الكفاءة 2'!K10-4),"")</f>
        <v>شهرزاد بوراس</v>
      </c>
      <c r="E14" s="36"/>
      <c r="F14" s="45">
        <f>IF(OR('بيانات التلاميذ في المادة '!G12="ج",'بيانات التلاميذ في المادة '!G12=("د")),ROW()-2,"")</f>
        <v>12</v>
      </c>
      <c r="G14" s="45">
        <f t="shared" si="2"/>
        <v>24</v>
      </c>
      <c r="H14" s="45" t="str">
        <f>IF(OR('بيانات التلاميذ في المادة '!H12="ج",'بيانات التلاميذ في المادة '!H12=("د")),ROW()-2,"")</f>
        <v/>
      </c>
      <c r="I14" s="45">
        <f t="shared" si="0"/>
        <v>22</v>
      </c>
      <c r="J14" s="10" t="str">
        <f>IF(OR('بيانات التلاميذ في المادة '!I12="ج",'بيانات التلاميذ في المادة '!I12=("د")),ROW()-2,"")</f>
        <v/>
      </c>
      <c r="K14" s="10">
        <f t="shared" si="1"/>
        <v>18</v>
      </c>
      <c r="L14" s="10"/>
    </row>
    <row r="15" spans="1:21" x14ac:dyDescent="0.25">
      <c r="A15" s="32">
        <f t="shared" si="3"/>
        <v>5</v>
      </c>
      <c r="B15" s="30" t="str">
        <f>IFERROR(INDEX('بيانات التلاميذ في المادة '!$A$5:$A$54,'التلاميذ للمعالجة الكفاءة 2'!G11-4),"")</f>
        <v>ياسر عبد المالك بوعلام</v>
      </c>
      <c r="C15" s="30" t="str">
        <f>IFERROR(INDEX('بيانات التلاميذ في المادة '!$A$5:$A$54,'التلاميذ للمعالجة الكفاءة 2'!I11-4),"")</f>
        <v>ياسر عبد المالك بوعلام</v>
      </c>
      <c r="D15" s="30" t="str">
        <f>IFERROR(INDEX('بيانات التلاميذ في المادة '!$A$5:$A$54,'التلاميذ للمعالجة الكفاءة 2'!K11-4),"")</f>
        <v>فراح بوزيتونة</v>
      </c>
      <c r="E15" s="36"/>
      <c r="F15" s="45" t="str">
        <f>IF(OR('بيانات التلاميذ في المادة '!G13="ج",'بيانات التلاميذ في المادة '!G13=("د")),ROW()-2,"")</f>
        <v/>
      </c>
      <c r="G15" s="45">
        <f t="shared" si="2"/>
        <v>26</v>
      </c>
      <c r="H15" s="45">
        <f>IF(OR('بيانات التلاميذ في المادة '!H13="ج",'بيانات التلاميذ في المادة '!H13=("د")),ROW()-2,"")</f>
        <v>13</v>
      </c>
      <c r="I15" s="45">
        <f t="shared" si="0"/>
        <v>26</v>
      </c>
      <c r="J15" s="10">
        <f>IF(OR('بيانات التلاميذ في المادة '!I13="ج",'بيانات التلاميذ في المادة '!I13=("د")),ROW()-2,"")</f>
        <v>13</v>
      </c>
      <c r="K15" s="10">
        <f t="shared" si="1"/>
        <v>21</v>
      </c>
      <c r="L15" s="10"/>
    </row>
    <row r="16" spans="1:21" x14ac:dyDescent="0.25">
      <c r="A16" s="32">
        <f t="shared" si="3"/>
        <v>6</v>
      </c>
      <c r="B16" s="30" t="str">
        <f>IFERROR(INDEX('بيانات التلاميذ في المادة '!$A$5:$A$54,'التلاميذ للمعالجة الكفاءة 2'!G12-4),"")</f>
        <v>عبد القادر بونوح</v>
      </c>
      <c r="C16" s="30" t="str">
        <f>IFERROR(INDEX('بيانات التلاميذ في المادة '!$A$5:$A$54,'التلاميذ للمعالجة الكفاءة 2'!I12-4),"")</f>
        <v>عبد القادر بونوح</v>
      </c>
      <c r="D16" s="30" t="str">
        <f>IFERROR(INDEX('بيانات التلاميذ في المادة '!$A$5:$A$54,'التلاميذ للمعالجة الكفاءة 2'!K12-4),"")</f>
        <v>ياسر عبد المالك بوعلام</v>
      </c>
      <c r="E16" s="36"/>
      <c r="F16" s="45">
        <f>IF(OR('بيانات التلاميذ في المادة '!G14="ج",'بيانات التلاميذ في المادة '!G14=("د")),ROW()-2,"")</f>
        <v>14</v>
      </c>
      <c r="G16" s="45">
        <f t="shared" si="2"/>
        <v>27</v>
      </c>
      <c r="H16" s="45">
        <f>IF(OR('بيانات التلاميذ في المادة '!H14="ج",'بيانات التلاميذ في المادة '!H14=("د")),ROW()-2,"")</f>
        <v>14</v>
      </c>
      <c r="I16" s="45">
        <f t="shared" si="0"/>
        <v>27</v>
      </c>
      <c r="J16" s="10">
        <f>IF(OR('بيانات التلاميذ في المادة '!I14="ج",'بيانات التلاميذ في المادة '!I14=("د")),ROW()-2,"")</f>
        <v>14</v>
      </c>
      <c r="K16" s="10">
        <f t="shared" si="1"/>
        <v>22</v>
      </c>
      <c r="L16" s="10"/>
    </row>
    <row r="17" spans="1:12" x14ac:dyDescent="0.25">
      <c r="A17" s="32">
        <f t="shared" si="3"/>
        <v>7</v>
      </c>
      <c r="B17" s="30" t="str">
        <f>IFERROR(INDEX('بيانات التلاميذ في المادة '!$A$5:$A$54,'التلاميذ للمعالجة الكفاءة 2'!G13-4),"")</f>
        <v>فريال قطر الندى دهوي</v>
      </c>
      <c r="C17" s="30" t="str">
        <f>IFERROR(INDEX('بيانات التلاميذ في المادة '!$A$5:$A$54,'التلاميذ للمعالجة الكفاءة 2'!I13-4),"")</f>
        <v>أنفال تجيني</v>
      </c>
      <c r="D17" s="30" t="str">
        <f>IFERROR(INDEX('بيانات التلاميذ في المادة '!$A$5:$A$54,'التلاميذ للمعالجة الكفاءة 2'!K13-4),"")</f>
        <v>عبد القادر بونوح</v>
      </c>
      <c r="E17" s="36"/>
      <c r="F17" s="45">
        <f>IF(OR('بيانات التلاميذ في المادة '!G15="ج",'بيانات التلاميذ في المادة '!G15=("د")),ROW()-2,"")</f>
        <v>15</v>
      </c>
      <c r="G17" s="45">
        <f t="shared" si="2"/>
        <v>32</v>
      </c>
      <c r="H17" s="45">
        <f>IF(OR('بيانات التلاميذ في المادة '!H15="ج",'بيانات التلاميذ في المادة '!H15=("د")),ROW()-2,"")</f>
        <v>15</v>
      </c>
      <c r="I17" s="45">
        <f t="shared" si="0"/>
        <v>44</v>
      </c>
      <c r="J17" s="10">
        <f>IF(OR('بيانات التلاميذ في المادة '!I15="ج",'بيانات التلاميذ في المادة '!I15=("د")),ROW()-2,"")</f>
        <v>15</v>
      </c>
      <c r="K17" s="10">
        <f t="shared" si="1"/>
        <v>26</v>
      </c>
      <c r="L17" s="10"/>
    </row>
    <row r="18" spans="1:12" x14ac:dyDescent="0.25">
      <c r="A18" s="32">
        <f t="shared" si="3"/>
        <v>8</v>
      </c>
      <c r="B18" s="30" t="str">
        <f>IFERROR(INDEX('بيانات التلاميذ في المادة '!$A$5:$A$54,'التلاميذ للمعالجة الكفاءة 2'!G14-4),"")</f>
        <v>مصطفى محمد سماحي</v>
      </c>
      <c r="C18" s="30" t="str">
        <f>IFERROR(INDEX('بيانات التلاميذ في المادة '!$A$5:$A$54,'التلاميذ للمعالجة الكفاءة 2'!I14-4),"")</f>
        <v>فريال قطر الندى دهوي</v>
      </c>
      <c r="D18" s="30" t="str">
        <f>IFERROR(INDEX('بيانات التلاميذ في المادة '!$A$5:$A$54,'التلاميذ للمعالجة الكفاءة 2'!K14-4),"")</f>
        <v>أنفال تجيني</v>
      </c>
      <c r="E18" s="36"/>
      <c r="F18" s="45" t="str">
        <f>IF(OR('بيانات التلاميذ في المادة '!G16="ج",'بيانات التلاميذ في المادة '!G16=("د")),ROW()-2,"")</f>
        <v/>
      </c>
      <c r="G18" s="45">
        <f t="shared" si="2"/>
        <v>43</v>
      </c>
      <c r="H18" s="45" t="str">
        <f>IF(OR('بيانات التلاميذ في المادة '!H16="ج",'بيانات التلاميذ في المادة '!H16=("د")),ROW()-2,"")</f>
        <v/>
      </c>
      <c r="I18" s="45">
        <f t="shared" si="0"/>
        <v>46</v>
      </c>
      <c r="J18" s="10" t="str">
        <f>IF(OR('بيانات التلاميذ في المادة '!I16="ج",'بيانات التلاميذ في المادة '!I16=("د")),ROW()-2,"")</f>
        <v/>
      </c>
      <c r="K18" s="10">
        <f t="shared" si="1"/>
        <v>27</v>
      </c>
      <c r="L18" s="10"/>
    </row>
    <row r="19" spans="1:12" x14ac:dyDescent="0.25">
      <c r="A19" s="32">
        <f t="shared" si="3"/>
        <v>9</v>
      </c>
      <c r="B19" s="30" t="str">
        <f>IFERROR(INDEX('بيانات التلاميذ في المادة '!$A$5:$A$54,'التلاميذ للمعالجة الكفاءة 2'!G15-4),"")</f>
        <v>زهير شقرون</v>
      </c>
      <c r="C19" s="30" t="str">
        <f>IFERROR(INDEX('بيانات التلاميذ في المادة '!$A$5:$A$54,'التلاميذ للمعالجة الكفاءة 2'!I15-4),"")</f>
        <v>زهير شقرون</v>
      </c>
      <c r="D19" s="30" t="str">
        <f>IFERROR(INDEX('بيانات التلاميذ في المادة '!$A$5:$A$54,'التلاميذ للمعالجة الكفاءة 2'!K15-4),"")</f>
        <v>يونس لطفي حراث</v>
      </c>
      <c r="E19" s="36"/>
      <c r="F19" s="45">
        <f>IF(OR('بيانات التلاميذ في المادة '!G17="ج",'بيانات التلاميذ في المادة '!G17=("د")),ROW()-2,"")</f>
        <v>17</v>
      </c>
      <c r="G19" s="45" t="str">
        <f t="shared" si="2"/>
        <v/>
      </c>
      <c r="H19" s="45">
        <f>IF(OR('بيانات التلاميذ في المادة '!H17="ج",'بيانات التلاميذ في المادة '!H17=("د")),ROW()-2,"")</f>
        <v>17</v>
      </c>
      <c r="I19" s="45">
        <f t="shared" si="0"/>
        <v>48</v>
      </c>
      <c r="J19" s="10">
        <f>IF(OR('بيانات التلاميذ في المادة '!I17="ج",'بيانات التلاميذ في المادة '!I17=("د")),ROW()-2,"")</f>
        <v>17</v>
      </c>
      <c r="K19" s="10">
        <f t="shared" si="1"/>
        <v>32</v>
      </c>
      <c r="L19" s="10"/>
    </row>
    <row r="20" spans="1:12" x14ac:dyDescent="0.25">
      <c r="A20" s="32">
        <f t="shared" si="3"/>
        <v>10</v>
      </c>
      <c r="B20" s="30" t="str">
        <f>IFERROR(INDEX('بيانات التلاميذ في المادة '!$A$5:$A$54,'التلاميذ للمعالجة الكفاءة 2'!G16-4),"")</f>
        <v>فايزة شلابي</v>
      </c>
      <c r="C20" s="30" t="str">
        <f>IFERROR(INDEX('بيانات التلاميذ في المادة '!$A$5:$A$54,'التلاميذ للمعالجة الكفاءة 2'!I16-4),"")</f>
        <v>فايزة شلابي</v>
      </c>
      <c r="D20" s="30" t="str">
        <f>IFERROR(INDEX('بيانات التلاميذ في المادة '!$A$5:$A$54,'التلاميذ للمعالجة الكفاءة 2'!K16-4),"")</f>
        <v>فريال قطر الندى دهوي</v>
      </c>
      <c r="E20" s="36"/>
      <c r="F20" s="45" t="str">
        <f>IF(OR('بيانات التلاميذ في المادة '!G18="ج",'بيانات التلاميذ في المادة '!G18=("د")),ROW()-2,"")</f>
        <v/>
      </c>
      <c r="G20" s="45" t="str">
        <f t="shared" si="2"/>
        <v/>
      </c>
      <c r="H20" s="45">
        <f>IF(OR('بيانات التلاميذ في المادة '!H18="ج",'بيانات التلاميذ في المادة '!H18=("د")),ROW()-2,"")</f>
        <v>18</v>
      </c>
      <c r="I20" s="45" t="str">
        <f t="shared" si="0"/>
        <v/>
      </c>
      <c r="J20" s="10">
        <f>IF(OR('بيانات التلاميذ في المادة '!I18="ج",'بيانات التلاميذ في المادة '!I18=("د")),ROW()-2,"")</f>
        <v>18</v>
      </c>
      <c r="K20" s="10">
        <f t="shared" si="1"/>
        <v>46</v>
      </c>
      <c r="L20" s="10"/>
    </row>
    <row r="21" spans="1:12" x14ac:dyDescent="0.25">
      <c r="A21" s="32">
        <f t="shared" si="3"/>
        <v>11</v>
      </c>
      <c r="B21" s="30" t="str">
        <f>IFERROR(INDEX('بيانات التلاميذ في المادة '!$A$5:$A$54,'التلاميذ للمعالجة الكفاءة 2'!G17-4),"")</f>
        <v>بشرى لحرش</v>
      </c>
      <c r="C21" s="30">
        <f>IFERROR(INDEX('بيانات التلاميذ في المادة '!$A$5:$A$54,'التلاميذ للمعالجة الكفاءة 2'!I17-4),"")</f>
        <v>0</v>
      </c>
      <c r="D21" s="30" t="str">
        <f>IFERROR(INDEX('بيانات التلاميذ في المادة '!$A$5:$A$54,'التلاميذ للمعالجة الكفاءة 2'!K17-4),"")</f>
        <v>زهير شقرون</v>
      </c>
      <c r="E21" s="36"/>
      <c r="F21" s="45" t="str">
        <f>IF(OR('بيانات التلاميذ في المادة '!G19="ج",'بيانات التلاميذ في المادة '!G19=("د")),ROW()-2,"")</f>
        <v/>
      </c>
      <c r="G21" s="45" t="str">
        <f t="shared" si="2"/>
        <v/>
      </c>
      <c r="H21" s="45" t="str">
        <f>IF(OR('بيانات التلاميذ في المادة '!H19="ج",'بيانات التلاميذ في المادة '!H19=("د")),ROW()-2,"")</f>
        <v/>
      </c>
      <c r="I21" s="45" t="str">
        <f t="shared" si="0"/>
        <v/>
      </c>
      <c r="J21" s="10" t="str">
        <f>IF(OR('بيانات التلاميذ في المادة '!I19="ج",'بيانات التلاميذ في المادة '!I19=("د")),ROW()-2,"")</f>
        <v/>
      </c>
      <c r="K21" s="10">
        <f t="shared" si="1"/>
        <v>48</v>
      </c>
      <c r="L21" s="10"/>
    </row>
    <row r="22" spans="1:12" x14ac:dyDescent="0.25">
      <c r="A22" s="32">
        <f t="shared" si="3"/>
        <v>12</v>
      </c>
      <c r="B22" s="30" t="str">
        <f>IFERROR(INDEX('بيانات التلاميذ في المادة '!$A$5:$A$54,'التلاميذ للمعالجة الكفاءة 2'!G18-4),"")</f>
        <v>معاذ مقدم</v>
      </c>
      <c r="C22" s="30" t="str">
        <f>IFERROR(INDEX('بيانات التلاميذ في المادة '!$A$5:$A$54,'التلاميذ للمعالجة الكفاءة 2'!I18-4),"")</f>
        <v>سحر ميسوم</v>
      </c>
      <c r="D22" s="30" t="str">
        <f>IFERROR(INDEX('بيانات التلاميذ في المادة '!$A$5:$A$54,'التلاميذ للمعالجة الكفاءة 2'!K18-4),"")</f>
        <v>فايزة شلابي</v>
      </c>
      <c r="E22" s="36"/>
      <c r="F22" s="45" t="str">
        <f>IF(OR('بيانات التلاميذ في المادة '!G20="ج",'بيانات التلاميذ في المادة '!G20=("د")),ROW()-2,"")</f>
        <v/>
      </c>
      <c r="G22" s="45" t="str">
        <f t="shared" si="2"/>
        <v/>
      </c>
      <c r="H22" s="45" t="str">
        <f>IF(OR('بيانات التلاميذ في المادة '!H20="ج",'بيانات التلاميذ في المادة '!H20=("د")),ROW()-2,"")</f>
        <v/>
      </c>
      <c r="I22" s="45" t="str">
        <f t="shared" si="0"/>
        <v/>
      </c>
      <c r="J22" s="10" t="str">
        <f>IF(OR('بيانات التلاميذ في المادة '!I20="ج",'بيانات التلاميذ في المادة '!I20=("د")),ROW()-2,"")</f>
        <v/>
      </c>
      <c r="K22" s="10" t="str">
        <f t="shared" si="1"/>
        <v/>
      </c>
      <c r="L22" s="10"/>
    </row>
    <row r="23" spans="1:12" x14ac:dyDescent="0.25">
      <c r="A23" s="32">
        <f t="shared" si="3"/>
        <v>13</v>
      </c>
      <c r="B23" s="30" t="str">
        <f>IFERROR(INDEX('بيانات التلاميذ في المادة '!$A$5:$A$54,'التلاميذ للمعالجة الكفاءة 2'!G19-4),"")</f>
        <v/>
      </c>
      <c r="C23" s="30" t="str">
        <f>IFERROR(INDEX('بيانات التلاميذ في المادة '!$A$5:$A$54,'التلاميذ للمعالجة الكفاءة 2'!I19-4),"")</f>
        <v>سارة يحياوي</v>
      </c>
      <c r="D23" s="30" t="str">
        <f>IFERROR(INDEX('بيانات التلاميذ في المادة '!$A$5:$A$54,'التلاميذ للمعالجة الكفاءة 2'!K19-4),"")</f>
        <v>بشرى لحرش</v>
      </c>
      <c r="E23" s="36"/>
      <c r="F23" s="45" t="str">
        <f>IF(OR('بيانات التلاميذ في المادة '!G21="ج",'بيانات التلاميذ في المادة '!G21=("د")),ROW()-2,"")</f>
        <v/>
      </c>
      <c r="G23" s="45" t="str">
        <f t="shared" si="2"/>
        <v/>
      </c>
      <c r="H23" s="45" t="str">
        <f>IF(OR('بيانات التلاميذ في المادة '!H21="ج",'بيانات التلاميذ في المادة '!H21=("د")),ROW()-2,"")</f>
        <v/>
      </c>
      <c r="I23" s="45" t="str">
        <f t="shared" si="0"/>
        <v/>
      </c>
      <c r="J23" s="10">
        <f>IF(OR('بيانات التلاميذ في المادة '!I21="ج",'بيانات التلاميذ في المادة '!I21=("د")),ROW()-2,"")</f>
        <v>21</v>
      </c>
      <c r="K23" s="10" t="str">
        <f t="shared" si="1"/>
        <v/>
      </c>
      <c r="L23" s="10"/>
    </row>
    <row r="24" spans="1:12" x14ac:dyDescent="0.25">
      <c r="A24" s="32">
        <f t="shared" si="3"/>
        <v>14</v>
      </c>
      <c r="B24" s="30" t="str">
        <f>IFERROR(INDEX('بيانات التلاميذ في المادة '!$A$5:$A$54,'التلاميذ للمعالجة الكفاءة 2'!G20-4),"")</f>
        <v/>
      </c>
      <c r="C24" s="30" t="str">
        <f>IFERROR(INDEX('بيانات التلاميذ في المادة '!$A$5:$A$54,'التلاميذ للمعالجة الكفاءة 2'!I20-4),"")</f>
        <v/>
      </c>
      <c r="D24" s="30" t="str">
        <f>IFERROR(INDEX('بيانات التلاميذ في المادة '!$A$5:$A$54,'التلاميذ للمعالجة الكفاءة 2'!K20-4),"")</f>
        <v>سحر ميسوم</v>
      </c>
      <c r="E24" s="36"/>
      <c r="F24" s="45">
        <f>IF(OR('بيانات التلاميذ في المادة '!G22="ج",'بيانات التلاميذ في المادة '!G22=("د")),ROW()-2,"")</f>
        <v>22</v>
      </c>
      <c r="G24" s="45" t="str">
        <f t="shared" si="2"/>
        <v/>
      </c>
      <c r="H24" s="45">
        <f>IF(OR('بيانات التلاميذ في المادة '!H22="ج",'بيانات التلاميذ في المادة '!H22=("د")),ROW()-2,"")</f>
        <v>22</v>
      </c>
      <c r="I24" s="45" t="str">
        <f t="shared" si="0"/>
        <v/>
      </c>
      <c r="J24" s="10">
        <f>IF(OR('بيانات التلاميذ في المادة '!I22="ج",'بيانات التلاميذ في المادة '!I22=("د")),ROW()-2,"")</f>
        <v>22</v>
      </c>
      <c r="K24" s="10" t="str">
        <f t="shared" si="1"/>
        <v/>
      </c>
      <c r="L24" s="10"/>
    </row>
    <row r="25" spans="1:12" x14ac:dyDescent="0.25">
      <c r="A25" s="32">
        <f t="shared" si="3"/>
        <v>15</v>
      </c>
      <c r="B25" s="30" t="str">
        <f>IFERROR(INDEX('بيانات التلاميذ في المادة '!$A$5:$A$54,'التلاميذ للمعالجة الكفاءة 2'!G21-4),"")</f>
        <v/>
      </c>
      <c r="C25" s="30" t="str">
        <f>IFERROR(INDEX('بيانات التلاميذ في المادة '!$A$5:$A$54,'التلاميذ للمعالجة الكفاءة 2'!I21-4),"")</f>
        <v/>
      </c>
      <c r="D25" s="30" t="str">
        <f>IFERROR(INDEX('بيانات التلاميذ في المادة '!$A$5:$A$54,'التلاميذ للمعالجة الكفاءة 2'!K21-4),"")</f>
        <v>سارة يحياوي</v>
      </c>
      <c r="E25" s="36"/>
      <c r="F25" s="45" t="str">
        <f>IF(OR('بيانات التلاميذ في المادة '!G23="ج",'بيانات التلاميذ في المادة '!G23=("د")),ROW()-2,"")</f>
        <v/>
      </c>
      <c r="G25" s="45" t="str">
        <f t="shared" si="2"/>
        <v/>
      </c>
      <c r="H25" s="45" t="str">
        <f>IF(OR('بيانات التلاميذ في المادة '!H23="ج",'بيانات التلاميذ في المادة '!H23=("د")),ROW()-2,"")</f>
        <v/>
      </c>
      <c r="I25" s="45" t="str">
        <f t="shared" ref="I25:I54" si="4">IFERROR(SMALL($H$7:$H$50,ROW()-6),"")</f>
        <v/>
      </c>
      <c r="J25" s="10" t="str">
        <f>IF(OR('بيانات التلاميذ في المادة '!I23="ج",'بيانات التلاميذ في المادة '!I23=("د")),ROW()-2,"")</f>
        <v/>
      </c>
      <c r="K25" s="10" t="str">
        <f t="shared" ref="K25:K54" si="5">IFERROR(SMALL($J$7:$J$50,ROW()-6),"")</f>
        <v/>
      </c>
      <c r="L25" s="10"/>
    </row>
    <row r="26" spans="1:12" x14ac:dyDescent="0.25">
      <c r="A26" s="32" t="str">
        <f t="shared" si="3"/>
        <v/>
      </c>
      <c r="B26" s="30" t="str">
        <f>IFERROR(INDEX('بيانات التلاميذ في المادة '!$A$5:$A$54,'التلاميذ للمعالجة الكفاءة 2'!G22-4),"")</f>
        <v/>
      </c>
      <c r="C26" s="30" t="str">
        <f>IFERROR(INDEX('بيانات التلاميذ في المادة '!$A$5:$A$54,'التلاميذ للمعالجة الكفاءة 2'!I22-4),"")</f>
        <v/>
      </c>
      <c r="D26" s="30" t="str">
        <f>IFERROR(INDEX('بيانات التلاميذ في المادة '!$A$5:$A$54,'التلاميذ للمعالجة الكفاءة 2'!K22-4),"")</f>
        <v/>
      </c>
      <c r="E26" s="36"/>
      <c r="F26" s="45">
        <f>IF(OR('بيانات التلاميذ في المادة '!G24="ج",'بيانات التلاميذ في المادة '!G24=("د")),ROW()-2,"")</f>
        <v>24</v>
      </c>
      <c r="G26" s="45" t="str">
        <f t="shared" si="2"/>
        <v/>
      </c>
      <c r="H26" s="45" t="str">
        <f>IF(OR('بيانات التلاميذ في المادة '!H24="ج",'بيانات التلاميذ في المادة '!H24=("د")),ROW()-2,"")</f>
        <v/>
      </c>
      <c r="I26" s="45" t="str">
        <f t="shared" si="4"/>
        <v/>
      </c>
      <c r="J26" s="10" t="str">
        <f>IF(OR('بيانات التلاميذ في المادة '!I24="ج",'بيانات التلاميذ في المادة '!I24=("د")),ROW()-2,"")</f>
        <v/>
      </c>
      <c r="K26" s="10" t="str">
        <f t="shared" si="5"/>
        <v/>
      </c>
      <c r="L26" s="10"/>
    </row>
    <row r="27" spans="1:12" x14ac:dyDescent="0.25">
      <c r="A27" s="32" t="str">
        <f t="shared" si="3"/>
        <v/>
      </c>
      <c r="B27" s="30" t="str">
        <f>IFERROR(INDEX('بيانات التلاميذ في المادة '!$A$5:$A$54,'التلاميذ للمعالجة الكفاءة 2'!G23-4),"")</f>
        <v/>
      </c>
      <c r="C27" s="30" t="str">
        <f>IFERROR(INDEX('بيانات التلاميذ في المادة '!$A$5:$A$54,'التلاميذ للمعالجة الكفاءة 2'!I23-4),"")</f>
        <v/>
      </c>
      <c r="D27" s="30" t="str">
        <f>IFERROR(INDEX('بيانات التلاميذ في المادة '!$A$5:$A$54,'التلاميذ للمعالجة الكفاءة 2'!K23-4),"")</f>
        <v/>
      </c>
      <c r="E27" s="36"/>
      <c r="F27" s="45" t="str">
        <f>IF(OR('بيانات التلاميذ في المادة '!G25="ج",'بيانات التلاميذ في المادة '!G25=("د")),ROW()-2,"")</f>
        <v/>
      </c>
      <c r="G27" s="45" t="str">
        <f t="shared" si="2"/>
        <v/>
      </c>
      <c r="H27" s="45" t="str">
        <f>IF(OR('بيانات التلاميذ في المادة '!H25="ج",'بيانات التلاميذ في المادة '!H25=("د")),ROW()-2,"")</f>
        <v/>
      </c>
      <c r="I27" s="45" t="str">
        <f t="shared" si="4"/>
        <v/>
      </c>
      <c r="J27" s="10" t="str">
        <f>IF(OR('بيانات التلاميذ في المادة '!I25="ج",'بيانات التلاميذ في المادة '!I25=("د")),ROW()-2,"")</f>
        <v/>
      </c>
      <c r="K27" s="10" t="str">
        <f t="shared" si="5"/>
        <v/>
      </c>
      <c r="L27" s="10"/>
    </row>
    <row r="28" spans="1:12" x14ac:dyDescent="0.25">
      <c r="A28" s="32" t="str">
        <f t="shared" si="3"/>
        <v/>
      </c>
      <c r="B28" s="30" t="str">
        <f>IFERROR(INDEX('بيانات التلاميذ في المادة '!$A$5:$A$54,'التلاميذ للمعالجة الكفاءة 2'!G24-4),"")</f>
        <v/>
      </c>
      <c r="C28" s="30" t="str">
        <f>IFERROR(INDEX('بيانات التلاميذ في المادة '!$A$5:$A$54,'التلاميذ للمعالجة الكفاءة 2'!I24-4),"")</f>
        <v/>
      </c>
      <c r="D28" s="30" t="str">
        <f>IFERROR(INDEX('بيانات التلاميذ في المادة '!$A$5:$A$54,'التلاميذ للمعالجة الكفاءة 2'!K24-4),"")</f>
        <v/>
      </c>
      <c r="E28" s="36"/>
      <c r="F28" s="45">
        <f>IF(OR('بيانات التلاميذ في المادة '!G26="ج",'بيانات التلاميذ في المادة '!G26=("د")),ROW()-2,"")</f>
        <v>26</v>
      </c>
      <c r="G28" s="45" t="str">
        <f t="shared" si="2"/>
        <v/>
      </c>
      <c r="H28" s="45">
        <f>IF(OR('بيانات التلاميذ في المادة '!H26="ج",'بيانات التلاميذ في المادة '!H26=("د")),ROW()-2,"")</f>
        <v>26</v>
      </c>
      <c r="I28" s="45" t="str">
        <f t="shared" si="4"/>
        <v/>
      </c>
      <c r="J28" s="10">
        <f>IF(OR('بيانات التلاميذ في المادة '!I26="ج",'بيانات التلاميذ في المادة '!I26=("د")),ROW()-2,"")</f>
        <v>26</v>
      </c>
      <c r="K28" s="10" t="str">
        <f t="shared" si="5"/>
        <v/>
      </c>
      <c r="L28" s="10"/>
    </row>
    <row r="29" spans="1:12" x14ac:dyDescent="0.25">
      <c r="A29" s="32" t="str">
        <f t="shared" si="3"/>
        <v/>
      </c>
      <c r="B29" s="30" t="str">
        <f>IFERROR(INDEX('بيانات التلاميذ في المادة '!$A$5:$A$54,'التلاميذ للمعالجة الكفاءة 2'!G25-4),"")</f>
        <v/>
      </c>
      <c r="C29" s="30" t="str">
        <f>IFERROR(INDEX('بيانات التلاميذ في المادة '!$A$5:$A$54,'التلاميذ للمعالجة الكفاءة 2'!I25-4),"")</f>
        <v/>
      </c>
      <c r="D29" s="30" t="str">
        <f>IFERROR(INDEX('بيانات التلاميذ في المادة '!$A$5:$A$54,'التلاميذ للمعالجة الكفاءة 2'!K25-4),"")</f>
        <v/>
      </c>
      <c r="E29" s="36"/>
      <c r="F29" s="45">
        <f>IF(OR('بيانات التلاميذ في المادة '!G27="ج",'بيانات التلاميذ في المادة '!G27=("د")),ROW()-2,"")</f>
        <v>27</v>
      </c>
      <c r="G29" s="45" t="str">
        <f t="shared" si="2"/>
        <v/>
      </c>
      <c r="H29" s="45">
        <f>IF(OR('بيانات التلاميذ في المادة '!H27="ج",'بيانات التلاميذ في المادة '!H27=("د")),ROW()-2,"")</f>
        <v>27</v>
      </c>
      <c r="I29" s="45" t="str">
        <f t="shared" si="4"/>
        <v/>
      </c>
      <c r="J29" s="10">
        <f>IF(OR('بيانات التلاميذ في المادة '!I27="ج",'بيانات التلاميذ في المادة '!I27=("د")),ROW()-2,"")</f>
        <v>27</v>
      </c>
      <c r="K29" s="10" t="str">
        <f t="shared" si="5"/>
        <v/>
      </c>
      <c r="L29" s="10"/>
    </row>
    <row r="30" spans="1:12" x14ac:dyDescent="0.25">
      <c r="A30" s="32" t="str">
        <f t="shared" si="3"/>
        <v/>
      </c>
      <c r="B30" s="30" t="str">
        <f>IFERROR(INDEX('بيانات التلاميذ في المادة '!$A$5:$A$54,'التلاميذ للمعالجة الكفاءة 2'!G26-4),"")</f>
        <v/>
      </c>
      <c r="C30" s="30" t="str">
        <f>IFERROR(INDEX('بيانات التلاميذ في المادة '!$A$5:$A$54,'التلاميذ للمعالجة الكفاءة 2'!I26-4),"")</f>
        <v/>
      </c>
      <c r="D30" s="30" t="str">
        <f>IFERROR(INDEX('بيانات التلاميذ في المادة '!$A$5:$A$54,'التلاميذ للمعالجة الكفاءة 2'!K26-4),"")</f>
        <v/>
      </c>
      <c r="E30" s="36"/>
      <c r="F30" s="45" t="str">
        <f>IF(OR('بيانات التلاميذ في المادة '!G28="ج",'بيانات التلاميذ في المادة '!G28=("د")),ROW()-2,"")</f>
        <v/>
      </c>
      <c r="G30" s="45" t="str">
        <f t="shared" si="2"/>
        <v/>
      </c>
      <c r="H30" s="45" t="str">
        <f>IF(OR('بيانات التلاميذ في المادة '!H28="ج",'بيانات التلاميذ في المادة '!H28=("د")),ROW()-2,"")</f>
        <v/>
      </c>
      <c r="I30" s="45" t="str">
        <f t="shared" si="4"/>
        <v/>
      </c>
      <c r="J30" s="10" t="str">
        <f>IF(OR('بيانات التلاميذ في المادة '!I28="ج",'بيانات التلاميذ في المادة '!I28=("د")),ROW()-2,"")</f>
        <v/>
      </c>
      <c r="K30" s="10" t="str">
        <f t="shared" si="5"/>
        <v/>
      </c>
      <c r="L30" s="10"/>
    </row>
    <row r="31" spans="1:12" x14ac:dyDescent="0.25">
      <c r="A31" s="32" t="str">
        <f t="shared" si="3"/>
        <v/>
      </c>
      <c r="B31" s="30" t="str">
        <f>IFERROR(INDEX('بيانات التلاميذ في المادة '!$A$5:$A$54,'التلاميذ للمعالجة الكفاءة 2'!G27-4),"")</f>
        <v/>
      </c>
      <c r="C31" s="30" t="str">
        <f>IFERROR(INDEX('بيانات التلاميذ في المادة '!$A$5:$A$54,'التلاميذ للمعالجة الكفاءة 2'!I27-4),"")</f>
        <v/>
      </c>
      <c r="D31" s="30" t="str">
        <f>IFERROR(INDEX('بيانات التلاميذ في المادة '!$A$5:$A$54,'التلاميذ للمعالجة الكفاءة 2'!K27-4),"")</f>
        <v/>
      </c>
      <c r="E31" s="36"/>
      <c r="F31" s="45" t="str">
        <f>IF(OR('بيانات التلاميذ في المادة '!G29="ج",'بيانات التلاميذ في المادة '!G29=("د")),ROW()-2,"")</f>
        <v/>
      </c>
      <c r="G31" s="45" t="str">
        <f t="shared" si="2"/>
        <v/>
      </c>
      <c r="H31" s="45" t="str">
        <f>IF(OR('بيانات التلاميذ في المادة '!H29="ج",'بيانات التلاميذ في المادة '!H29=("د")),ROW()-2,"")</f>
        <v/>
      </c>
      <c r="I31" s="45" t="str">
        <f t="shared" si="4"/>
        <v/>
      </c>
      <c r="J31" s="10" t="str">
        <f>IF(OR('بيانات التلاميذ في المادة '!I29="ج",'بيانات التلاميذ في المادة '!I29=("د")),ROW()-2,"")</f>
        <v/>
      </c>
      <c r="K31" s="10" t="str">
        <f t="shared" si="5"/>
        <v/>
      </c>
      <c r="L31" s="10"/>
    </row>
    <row r="32" spans="1:12" x14ac:dyDescent="0.25">
      <c r="A32" s="32" t="str">
        <f t="shared" si="3"/>
        <v/>
      </c>
      <c r="B32" s="30" t="str">
        <f>IFERROR(INDEX('بيانات التلاميذ في المادة '!$A$5:$A$54,'التلاميذ للمعالجة الكفاءة 2'!G28-4),"")</f>
        <v/>
      </c>
      <c r="C32" s="30" t="str">
        <f>IFERROR(INDEX('بيانات التلاميذ في المادة '!$A$5:$A$54,'التلاميذ للمعالجة الكفاءة 2'!I28-4),"")</f>
        <v/>
      </c>
      <c r="D32" s="30" t="str">
        <f>IFERROR(INDEX('بيانات التلاميذ في المادة '!$A$5:$A$54,'التلاميذ للمعالجة الكفاءة 2'!K28-4),"")</f>
        <v/>
      </c>
      <c r="E32" s="36"/>
      <c r="F32" s="45" t="str">
        <f>IF(OR('بيانات التلاميذ في المادة '!G30="ج",'بيانات التلاميذ في المادة '!G30=("د")),ROW()-2,"")</f>
        <v/>
      </c>
      <c r="G32" s="45" t="str">
        <f t="shared" si="2"/>
        <v/>
      </c>
      <c r="H32" s="45" t="str">
        <f>IF(OR('بيانات التلاميذ في المادة '!H30="ج",'بيانات التلاميذ في المادة '!H30=("د")),ROW()-2,"")</f>
        <v/>
      </c>
      <c r="I32" s="45" t="str">
        <f t="shared" si="4"/>
        <v/>
      </c>
      <c r="J32" s="10" t="str">
        <f>IF(OR('بيانات التلاميذ في المادة '!I30="ج",'بيانات التلاميذ في المادة '!I30=("د")),ROW()-2,"")</f>
        <v/>
      </c>
      <c r="K32" s="10" t="str">
        <f t="shared" si="5"/>
        <v/>
      </c>
      <c r="L32" s="10"/>
    </row>
    <row r="33" spans="1:12" x14ac:dyDescent="0.25">
      <c r="A33" s="32" t="str">
        <f t="shared" si="3"/>
        <v/>
      </c>
      <c r="B33" s="30" t="str">
        <f>IFERROR(INDEX('بيانات التلاميذ في المادة '!$A$5:$A$54,'التلاميذ للمعالجة الكفاءة 2'!G29-4),"")</f>
        <v/>
      </c>
      <c r="C33" s="30" t="str">
        <f>IFERROR(INDEX('بيانات التلاميذ في المادة '!$A$5:$A$54,'التلاميذ للمعالجة الكفاءة 2'!I29-4),"")</f>
        <v/>
      </c>
      <c r="D33" s="30" t="str">
        <f>IFERROR(INDEX('بيانات التلاميذ في المادة '!$A$5:$A$54,'التلاميذ للمعالجة الكفاءة 2'!K29-4),"")</f>
        <v/>
      </c>
      <c r="E33" s="36"/>
      <c r="F33" s="45" t="str">
        <f>IF(OR('بيانات التلاميذ في المادة '!G31="ج",'بيانات التلاميذ في المادة '!G31=("د")),ROW()-2,"")</f>
        <v/>
      </c>
      <c r="G33" s="45" t="str">
        <f t="shared" si="2"/>
        <v/>
      </c>
      <c r="H33" s="45" t="str">
        <f>IF(OR('بيانات التلاميذ في المادة '!H31="ج",'بيانات التلاميذ في المادة '!H31=("د")),ROW()-2,"")</f>
        <v/>
      </c>
      <c r="I33" s="45" t="str">
        <f t="shared" si="4"/>
        <v/>
      </c>
      <c r="J33" s="10" t="str">
        <f>IF(OR('بيانات التلاميذ في المادة '!I31="ج",'بيانات التلاميذ في المادة '!I31=("د")),ROW()-2,"")</f>
        <v/>
      </c>
      <c r="K33" s="10" t="str">
        <f t="shared" si="5"/>
        <v/>
      </c>
      <c r="L33" s="10"/>
    </row>
    <row r="34" spans="1:12" x14ac:dyDescent="0.25">
      <c r="A34" s="32" t="str">
        <f t="shared" si="3"/>
        <v/>
      </c>
      <c r="B34" s="30" t="str">
        <f>IFERROR(INDEX('بيانات التلاميذ في المادة '!$A$5:$A$54,'التلاميذ للمعالجة الكفاءة 2'!G30-4),"")</f>
        <v/>
      </c>
      <c r="C34" s="30" t="str">
        <f>IFERROR(INDEX('بيانات التلاميذ في المادة '!$A$5:$A$54,'التلاميذ للمعالجة الكفاءة 2'!I30-4),"")</f>
        <v/>
      </c>
      <c r="D34" s="30" t="str">
        <f>IFERROR(INDEX('بيانات التلاميذ في المادة '!$A$5:$A$54,'التلاميذ للمعالجة الكفاءة 2'!K30-4),"")</f>
        <v/>
      </c>
      <c r="E34" s="36"/>
      <c r="F34" s="45">
        <f>IF(OR('بيانات التلاميذ في المادة '!G32="ج",'بيانات التلاميذ في المادة '!G32=("د")),ROW()-2,"")</f>
        <v>32</v>
      </c>
      <c r="G34" s="45" t="str">
        <f t="shared" si="2"/>
        <v/>
      </c>
      <c r="H34" s="45" t="str">
        <f>IF(OR('بيانات التلاميذ في المادة '!H32="ج",'بيانات التلاميذ في المادة '!H32=("د")),ROW()-2,"")</f>
        <v/>
      </c>
      <c r="I34" s="45" t="str">
        <f t="shared" si="4"/>
        <v/>
      </c>
      <c r="J34" s="10">
        <f>IF(OR('بيانات التلاميذ في المادة '!I32="ج",'بيانات التلاميذ في المادة '!I32=("د")),ROW()-2,"")</f>
        <v>32</v>
      </c>
      <c r="K34" s="10" t="str">
        <f t="shared" si="5"/>
        <v/>
      </c>
      <c r="L34" s="10"/>
    </row>
    <row r="35" spans="1:12" x14ac:dyDescent="0.25">
      <c r="A35" s="32" t="str">
        <f t="shared" si="3"/>
        <v/>
      </c>
      <c r="B35" s="30" t="str">
        <f>IFERROR(INDEX('بيانات التلاميذ في المادة '!$A$5:$A$54,'التلاميذ للمعالجة الكفاءة 2'!G31-4),"")</f>
        <v/>
      </c>
      <c r="C35" s="30" t="str">
        <f>IFERROR(INDEX('بيانات التلاميذ في المادة '!$A$5:$A$54,'التلاميذ للمعالجة الكفاءة 2'!I31-4),"")</f>
        <v/>
      </c>
      <c r="D35" s="30" t="str">
        <f>IFERROR(INDEX('بيانات التلاميذ في المادة '!$A$5:$A$54,'التلاميذ للمعالجة الكفاءة 2'!K31-4),"")</f>
        <v/>
      </c>
      <c r="E35" s="36"/>
      <c r="F35" s="45" t="str">
        <f>IF(OR('بيانات التلاميذ في المادة '!G33="ج",'بيانات التلاميذ في المادة '!G33=("د")),ROW()-2,"")</f>
        <v/>
      </c>
      <c r="G35" s="45" t="str">
        <f t="shared" si="2"/>
        <v/>
      </c>
      <c r="H35" s="45" t="str">
        <f>IF(OR('بيانات التلاميذ في المادة '!H33="ج",'بيانات التلاميذ في المادة '!H33=("د")),ROW()-2,"")</f>
        <v/>
      </c>
      <c r="I35" s="45" t="str">
        <f t="shared" si="4"/>
        <v/>
      </c>
      <c r="J35" s="10" t="str">
        <f>IF(OR('بيانات التلاميذ في المادة '!I33="ج",'بيانات التلاميذ في المادة '!I33=("د")),ROW()-2,"")</f>
        <v/>
      </c>
      <c r="K35" s="10" t="str">
        <f t="shared" si="5"/>
        <v/>
      </c>
      <c r="L35" s="10"/>
    </row>
    <row r="36" spans="1:12" x14ac:dyDescent="0.25">
      <c r="A36" s="32" t="str">
        <f t="shared" si="3"/>
        <v/>
      </c>
      <c r="B36" s="30" t="str">
        <f>IFERROR(INDEX('بيانات التلاميذ في المادة '!$A$5:$A$54,'التلاميذ للمعالجة الكفاءة 2'!G32-4),"")</f>
        <v/>
      </c>
      <c r="C36" s="30" t="str">
        <f>IFERROR(INDEX('بيانات التلاميذ في المادة '!$A$5:$A$54,'التلاميذ للمعالجة الكفاءة 2'!I32-4),"")</f>
        <v/>
      </c>
      <c r="D36" s="30" t="str">
        <f>IFERROR(INDEX('بيانات التلاميذ في المادة '!$A$5:$A$54,'التلاميذ للمعالجة الكفاءة 2'!K32-4),"")</f>
        <v/>
      </c>
      <c r="E36" s="36"/>
      <c r="F36" s="45" t="str">
        <f>IF(OR('بيانات التلاميذ في المادة '!G34="ج",'بيانات التلاميذ في المادة '!G34=("د")),ROW()-2,"")</f>
        <v/>
      </c>
      <c r="G36" s="45" t="str">
        <f t="shared" si="2"/>
        <v/>
      </c>
      <c r="H36" s="45" t="str">
        <f>IF(OR('بيانات التلاميذ في المادة '!H34="ج",'بيانات التلاميذ في المادة '!H34=("د")),ROW()-2,"")</f>
        <v/>
      </c>
      <c r="I36" s="45" t="str">
        <f t="shared" si="4"/>
        <v/>
      </c>
      <c r="J36" s="10" t="str">
        <f>IF(OR('بيانات التلاميذ في المادة '!I34="ج",'بيانات التلاميذ في المادة '!I34=("د")),ROW()-2,"")</f>
        <v/>
      </c>
      <c r="K36" s="10" t="str">
        <f t="shared" si="5"/>
        <v/>
      </c>
      <c r="L36" s="10"/>
    </row>
    <row r="37" spans="1:12" x14ac:dyDescent="0.25">
      <c r="A37" s="32" t="str">
        <f t="shared" si="3"/>
        <v/>
      </c>
      <c r="B37" s="30" t="str">
        <f>IFERROR(INDEX('بيانات التلاميذ في المادة '!$A$5:$A$54,'التلاميذ للمعالجة الكفاءة 2'!G33-4),"")</f>
        <v/>
      </c>
      <c r="C37" s="30" t="str">
        <f>IFERROR(INDEX('بيانات التلاميذ في المادة '!$A$5:$A$54,'التلاميذ للمعالجة الكفاءة 2'!I33-4),"")</f>
        <v/>
      </c>
      <c r="D37" s="30" t="str">
        <f>IFERROR(INDEX('بيانات التلاميذ في المادة '!$A$5:$A$54,'التلاميذ للمعالجة الكفاءة 2'!K33-4),"")</f>
        <v/>
      </c>
      <c r="E37" s="36"/>
      <c r="F37" s="45" t="str">
        <f>IF(OR('بيانات التلاميذ في المادة '!G35="ج",'بيانات التلاميذ في المادة '!G35=("د")),ROW()-2,"")</f>
        <v/>
      </c>
      <c r="G37" s="45" t="str">
        <f t="shared" si="2"/>
        <v/>
      </c>
      <c r="H37" s="45" t="str">
        <f>IF(OR('بيانات التلاميذ في المادة '!H35="ج",'بيانات التلاميذ في المادة '!H35=("د")),ROW()-2,"")</f>
        <v/>
      </c>
      <c r="I37" s="45" t="str">
        <f t="shared" si="4"/>
        <v/>
      </c>
      <c r="J37" s="10" t="str">
        <f>IF(OR('بيانات التلاميذ في المادة '!I35="ج",'بيانات التلاميذ في المادة '!I35=("د")),ROW()-2,"")</f>
        <v/>
      </c>
      <c r="K37" s="10" t="str">
        <f t="shared" si="5"/>
        <v/>
      </c>
      <c r="L37" s="10"/>
    </row>
    <row r="38" spans="1:12" x14ac:dyDescent="0.25">
      <c r="A38" s="32" t="str">
        <f t="shared" si="3"/>
        <v/>
      </c>
      <c r="B38" s="30" t="str">
        <f>IFERROR(INDEX('بيانات التلاميذ في المادة '!$A$5:$A$54,'التلاميذ للمعالجة الكفاءة 2'!G34-4),"")</f>
        <v/>
      </c>
      <c r="C38" s="30" t="str">
        <f>IFERROR(INDEX('بيانات التلاميذ في المادة '!$A$5:$A$54,'التلاميذ للمعالجة الكفاءة 2'!I34-4),"")</f>
        <v/>
      </c>
      <c r="D38" s="30" t="str">
        <f>IFERROR(INDEX('بيانات التلاميذ في المادة '!$A$5:$A$54,'التلاميذ للمعالجة الكفاءة 2'!K34-4),"")</f>
        <v/>
      </c>
      <c r="E38" s="36"/>
      <c r="F38" s="45" t="str">
        <f>IF(OR('بيانات التلاميذ في المادة '!G36="ج",'بيانات التلاميذ في المادة '!G36=("د")),ROW()-2,"")</f>
        <v/>
      </c>
      <c r="G38" s="45" t="str">
        <f t="shared" si="2"/>
        <v/>
      </c>
      <c r="H38" s="45" t="str">
        <f>IF(OR('بيانات التلاميذ في المادة '!H36="ج",'بيانات التلاميذ في المادة '!H36=("د")),ROW()-2,"")</f>
        <v/>
      </c>
      <c r="I38" s="45" t="str">
        <f t="shared" si="4"/>
        <v/>
      </c>
      <c r="J38" s="10" t="str">
        <f>IF(OR('بيانات التلاميذ في المادة '!I36="ج",'بيانات التلاميذ في المادة '!I36=("د")),ROW()-2,"")</f>
        <v/>
      </c>
      <c r="K38" s="10" t="str">
        <f t="shared" si="5"/>
        <v/>
      </c>
      <c r="L38" s="10"/>
    </row>
    <row r="39" spans="1:12" x14ac:dyDescent="0.25">
      <c r="A39" s="32" t="str">
        <f t="shared" si="3"/>
        <v/>
      </c>
      <c r="B39" s="30" t="str">
        <f>IFERROR(INDEX('بيانات التلاميذ في المادة '!$A$5:$A$54,'التلاميذ للمعالجة الكفاءة 2'!G35-4),"")</f>
        <v/>
      </c>
      <c r="C39" s="30" t="str">
        <f>IFERROR(INDEX('بيانات التلاميذ في المادة '!$A$5:$A$54,'التلاميذ للمعالجة الكفاءة 2'!I35-4),"")</f>
        <v/>
      </c>
      <c r="D39" s="30" t="str">
        <f>IFERROR(INDEX('بيانات التلاميذ في المادة '!$A$5:$A$54,'التلاميذ للمعالجة الكفاءة 2'!K35-4),"")</f>
        <v/>
      </c>
      <c r="E39" s="36"/>
      <c r="F39" s="45" t="str">
        <f>IF(OR('بيانات التلاميذ في المادة '!G37="ج",'بيانات التلاميذ في المادة '!G37=("د")),ROW()-2,"")</f>
        <v/>
      </c>
      <c r="G39" s="45" t="str">
        <f t="shared" si="2"/>
        <v/>
      </c>
      <c r="H39" s="45" t="str">
        <f>IF(OR('بيانات التلاميذ في المادة '!H37="ج",'بيانات التلاميذ في المادة '!H37=("د")),ROW()-2,"")</f>
        <v/>
      </c>
      <c r="I39" s="45" t="str">
        <f t="shared" si="4"/>
        <v/>
      </c>
      <c r="J39" s="10" t="str">
        <f>IF(OR('بيانات التلاميذ في المادة '!I37="ج",'بيانات التلاميذ في المادة '!I37=("د")),ROW()-2,"")</f>
        <v/>
      </c>
      <c r="K39" s="10" t="str">
        <f t="shared" si="5"/>
        <v/>
      </c>
      <c r="L39" s="10"/>
    </row>
    <row r="40" spans="1:12" x14ac:dyDescent="0.25">
      <c r="A40" s="32" t="str">
        <f t="shared" si="3"/>
        <v/>
      </c>
      <c r="B40" s="30" t="str">
        <f>IFERROR(INDEX('بيانات التلاميذ في المادة '!$A$5:$A$54,'التلاميذ للمعالجة الكفاءة 2'!G36-4),"")</f>
        <v/>
      </c>
      <c r="C40" s="30" t="str">
        <f>IFERROR(INDEX('بيانات التلاميذ في المادة '!$A$5:$A$54,'التلاميذ للمعالجة الكفاءة 2'!I36-4),"")</f>
        <v/>
      </c>
      <c r="D40" s="30" t="str">
        <f>IFERROR(INDEX('بيانات التلاميذ في المادة '!$A$5:$A$54,'التلاميذ للمعالجة الكفاءة 2'!K36-4),"")</f>
        <v/>
      </c>
      <c r="E40" s="36"/>
      <c r="F40" s="45" t="str">
        <f>IF(OR('بيانات التلاميذ في المادة '!G38="ج",'بيانات التلاميذ في المادة '!G38=("د")),ROW()-2,"")</f>
        <v/>
      </c>
      <c r="G40" s="45" t="str">
        <f t="shared" si="2"/>
        <v/>
      </c>
      <c r="H40" s="45" t="str">
        <f>IF(OR('بيانات التلاميذ في المادة '!H38="ج",'بيانات التلاميذ في المادة '!H38=("د")),ROW()-2,"")</f>
        <v/>
      </c>
      <c r="I40" s="45" t="str">
        <f t="shared" si="4"/>
        <v/>
      </c>
      <c r="J40" s="10" t="str">
        <f>IF(OR('بيانات التلاميذ في المادة '!I38="ج",'بيانات التلاميذ في المادة '!I38=("د")),ROW()-2,"")</f>
        <v/>
      </c>
      <c r="K40" s="10" t="str">
        <f t="shared" si="5"/>
        <v/>
      </c>
      <c r="L40" s="10"/>
    </row>
    <row r="41" spans="1:12" x14ac:dyDescent="0.25">
      <c r="A41" s="32" t="str">
        <f t="shared" si="3"/>
        <v/>
      </c>
      <c r="B41" s="30" t="str">
        <f>IFERROR(INDEX('بيانات التلاميذ في المادة '!$A$5:$A$54,'التلاميذ للمعالجة الكفاءة 2'!G37-4),"")</f>
        <v/>
      </c>
      <c r="C41" s="30" t="str">
        <f>IFERROR(INDEX('بيانات التلاميذ في المادة '!$A$5:$A$54,'التلاميذ للمعالجة الكفاءة 2'!I37-4),"")</f>
        <v/>
      </c>
      <c r="D41" s="30" t="str">
        <f>IFERROR(INDEX('بيانات التلاميذ في المادة '!$A$5:$A$54,'التلاميذ للمعالجة الكفاءة 2'!K37-4),"")</f>
        <v/>
      </c>
      <c r="E41" s="36"/>
      <c r="F41" s="45" t="str">
        <f>IF(OR('بيانات التلاميذ في المادة '!G39="ج",'بيانات التلاميذ في المادة '!G39=("د")),ROW()-2,"")</f>
        <v/>
      </c>
      <c r="G41" s="45" t="str">
        <f t="shared" si="2"/>
        <v/>
      </c>
      <c r="H41" s="45" t="str">
        <f>IF(OR('بيانات التلاميذ في المادة '!H39="ج",'بيانات التلاميذ في المادة '!H39=("د")),ROW()-2,"")</f>
        <v/>
      </c>
      <c r="I41" s="45" t="str">
        <f t="shared" si="4"/>
        <v/>
      </c>
      <c r="J41" s="10" t="str">
        <f>IF(OR('بيانات التلاميذ في المادة '!I39="ج",'بيانات التلاميذ في المادة '!I39=("د")),ROW()-2,"")</f>
        <v/>
      </c>
      <c r="K41" s="10" t="str">
        <f t="shared" si="5"/>
        <v/>
      </c>
      <c r="L41" s="10"/>
    </row>
    <row r="42" spans="1:12" x14ac:dyDescent="0.25">
      <c r="A42" s="32" t="str">
        <f t="shared" si="3"/>
        <v/>
      </c>
      <c r="B42" s="30" t="str">
        <f>IFERROR(INDEX('بيانات التلاميذ في المادة '!$A$5:$A$54,'التلاميذ للمعالجة الكفاءة 2'!G38-4),"")</f>
        <v/>
      </c>
      <c r="C42" s="30" t="str">
        <f>IFERROR(INDEX('بيانات التلاميذ في المادة '!$A$5:$A$54,'التلاميذ للمعالجة الكفاءة 2'!I38-4),"")</f>
        <v/>
      </c>
      <c r="D42" s="30" t="str">
        <f>IFERROR(INDEX('بيانات التلاميذ في المادة '!$A$5:$A$54,'التلاميذ للمعالجة الكفاءة 2'!K38-4),"")</f>
        <v/>
      </c>
      <c r="E42" s="36"/>
      <c r="F42" s="45" t="str">
        <f>IF(OR('بيانات التلاميذ في المادة '!G40="ج",'بيانات التلاميذ في المادة '!G40=("د")),ROW()-2,"")</f>
        <v/>
      </c>
      <c r="G42" s="45" t="str">
        <f t="shared" si="2"/>
        <v/>
      </c>
      <c r="H42" s="45" t="str">
        <f>IF(OR('بيانات التلاميذ في المادة '!H40="ج",'بيانات التلاميذ في المادة '!H40=("د")),ROW()-2,"")</f>
        <v/>
      </c>
      <c r="I42" s="45" t="str">
        <f t="shared" si="4"/>
        <v/>
      </c>
      <c r="J42" s="10" t="str">
        <f>IF(OR('بيانات التلاميذ في المادة '!I40="ج",'بيانات التلاميذ في المادة '!I40=("د")),ROW()-2,"")</f>
        <v/>
      </c>
      <c r="K42" s="10" t="str">
        <f t="shared" si="5"/>
        <v/>
      </c>
      <c r="L42" s="10"/>
    </row>
    <row r="43" spans="1:12" x14ac:dyDescent="0.25">
      <c r="A43" s="32" t="str">
        <f t="shared" si="3"/>
        <v/>
      </c>
      <c r="B43" s="30" t="str">
        <f>IFERROR(INDEX('بيانات التلاميذ في المادة '!$A$5:$A$54,'التلاميذ للمعالجة الكفاءة 2'!G39-4),"")</f>
        <v/>
      </c>
      <c r="C43" s="30" t="str">
        <f>IFERROR(INDEX('بيانات التلاميذ في المادة '!$A$5:$A$54,'التلاميذ للمعالجة الكفاءة 2'!I39-4),"")</f>
        <v/>
      </c>
      <c r="D43" s="30" t="str">
        <f>IFERROR(INDEX('بيانات التلاميذ في المادة '!$A$5:$A$54,'التلاميذ للمعالجة الكفاءة 2'!K39-4),"")</f>
        <v/>
      </c>
      <c r="E43" s="36"/>
      <c r="F43" s="45" t="str">
        <f>IF(OR('بيانات التلاميذ في المادة '!G41="ج",'بيانات التلاميذ في المادة '!G41=("د")),ROW()-2,"")</f>
        <v/>
      </c>
      <c r="G43" s="45" t="str">
        <f t="shared" si="2"/>
        <v/>
      </c>
      <c r="H43" s="45" t="str">
        <f>IF(OR('بيانات التلاميذ في المادة '!H41="ج",'بيانات التلاميذ في المادة '!H41=("د")),ROW()-2,"")</f>
        <v/>
      </c>
      <c r="I43" s="45" t="str">
        <f t="shared" si="4"/>
        <v/>
      </c>
      <c r="J43" s="10" t="str">
        <f>IF(OR('بيانات التلاميذ في المادة '!I41="ج",'بيانات التلاميذ في المادة '!I41=("د")),ROW()-2,"")</f>
        <v/>
      </c>
      <c r="K43" s="10" t="str">
        <f t="shared" si="5"/>
        <v/>
      </c>
      <c r="L43" s="10"/>
    </row>
    <row r="44" spans="1:12" x14ac:dyDescent="0.25">
      <c r="A44" s="32" t="str">
        <f t="shared" si="3"/>
        <v/>
      </c>
      <c r="B44" s="30" t="str">
        <f>IFERROR(INDEX('بيانات التلاميذ في المادة '!$A$5:$A$54,'التلاميذ للمعالجة الكفاءة 2'!G40-4),"")</f>
        <v/>
      </c>
      <c r="C44" s="30" t="str">
        <f>IFERROR(INDEX('بيانات التلاميذ في المادة '!$A$5:$A$54,'التلاميذ للمعالجة الكفاءة 2'!I40-4),"")</f>
        <v/>
      </c>
      <c r="D44" s="30" t="str">
        <f>IFERROR(INDEX('بيانات التلاميذ في المادة '!$A$5:$A$54,'التلاميذ للمعالجة الكفاءة 2'!K40-4),"")</f>
        <v/>
      </c>
      <c r="E44" s="36"/>
      <c r="F44" s="45" t="str">
        <f>IF(OR('بيانات التلاميذ في المادة '!G42="ج",'بيانات التلاميذ في المادة '!G42=("د")),ROW()-2,"")</f>
        <v/>
      </c>
      <c r="G44" s="45" t="str">
        <f t="shared" si="2"/>
        <v/>
      </c>
      <c r="H44" s="45" t="str">
        <f>IF(OR('بيانات التلاميذ في المادة '!H42="ج",'بيانات التلاميذ في المادة '!H42=("د")),ROW()-2,"")</f>
        <v/>
      </c>
      <c r="I44" s="45" t="str">
        <f t="shared" si="4"/>
        <v/>
      </c>
      <c r="J44" s="10" t="str">
        <f>IF(OR('بيانات التلاميذ في المادة '!I42="ج",'بيانات التلاميذ في المادة '!I42=("د")),ROW()-2,"")</f>
        <v/>
      </c>
      <c r="K44" s="10" t="str">
        <f t="shared" si="5"/>
        <v/>
      </c>
      <c r="L44" s="10"/>
    </row>
    <row r="45" spans="1:12" ht="15.75" thickBot="1" x14ac:dyDescent="0.3">
      <c r="A45" s="51" t="str">
        <f t="shared" si="3"/>
        <v/>
      </c>
      <c r="B45" s="52" t="str">
        <f>IFERROR(INDEX('بيانات التلاميذ في المادة '!$A$5:$A$54,'التلاميذ للمعالجة الكفاءة 2'!G41-4),"")</f>
        <v/>
      </c>
      <c r="C45" s="52" t="str">
        <f>IFERROR(INDEX('بيانات التلاميذ في المادة '!$A$5:$A$54,'التلاميذ للمعالجة الكفاءة 2'!I41-4),"")</f>
        <v/>
      </c>
      <c r="D45" s="52" t="str">
        <f>IFERROR(INDEX('بيانات التلاميذ في المادة '!$A$5:$A$54,'التلاميذ للمعالجة الكفاءة 2'!K41-4),"")</f>
        <v/>
      </c>
      <c r="E45" s="61"/>
      <c r="F45" s="45">
        <f>IF(OR('بيانات التلاميذ في المادة '!G43="ج",'بيانات التلاميذ في المادة '!G43=("د")),ROW()-2,"")</f>
        <v>43</v>
      </c>
      <c r="G45" s="45" t="str">
        <f t="shared" si="2"/>
        <v/>
      </c>
      <c r="H45" s="45" t="str">
        <f>IF(OR('بيانات التلاميذ في المادة '!H43="ج",'بيانات التلاميذ في المادة '!H43=("د")),ROW()-2,"")</f>
        <v/>
      </c>
      <c r="I45" s="45" t="str">
        <f t="shared" si="4"/>
        <v/>
      </c>
      <c r="J45" s="10" t="str">
        <f>IF(OR('بيانات التلاميذ في المادة '!I43="ج",'بيانات التلاميذ في المادة '!I43=("د")),ROW()-2,"")</f>
        <v/>
      </c>
      <c r="K45" s="10" t="str">
        <f t="shared" si="5"/>
        <v/>
      </c>
      <c r="L45" s="10"/>
    </row>
    <row r="46" spans="1:12" ht="15.75" thickBot="1" x14ac:dyDescent="0.3">
      <c r="A46" s="46"/>
      <c r="B46" s="46"/>
      <c r="C46" s="46"/>
      <c r="D46" s="46"/>
      <c r="E46" s="46"/>
      <c r="F46" s="45" t="str">
        <f>IF(OR('بيانات التلاميذ في المادة '!G44="ج",'بيانات التلاميذ في المادة '!G44=("د")),ROW()-2,"")</f>
        <v/>
      </c>
      <c r="G46" s="45" t="str">
        <f t="shared" si="2"/>
        <v/>
      </c>
      <c r="H46" s="45">
        <f>IF(OR('بيانات التلاميذ في المادة '!H44="ج",'بيانات التلاميذ في المادة '!H44=("د")),ROW()-2,"")</f>
        <v>44</v>
      </c>
      <c r="I46" s="45" t="str">
        <f t="shared" si="4"/>
        <v/>
      </c>
      <c r="J46" s="10" t="str">
        <f>IF(OR('بيانات التلاميذ في المادة '!I44="ج",'بيانات التلاميذ في المادة '!I44=("د")),ROW()-2,"")</f>
        <v/>
      </c>
      <c r="K46" s="10" t="str">
        <f t="shared" si="5"/>
        <v/>
      </c>
      <c r="L46" s="10"/>
    </row>
    <row r="47" spans="1:12" ht="15" customHeight="1" x14ac:dyDescent="0.25">
      <c r="A47" s="54" t="s">
        <v>0</v>
      </c>
      <c r="B47" s="55">
        <f>'بيانات التلاميذ في المادة '!G55/COUNTA('بيانات التلاميذ في المادة '!$G$5:$G$54)</f>
        <v>0.40909090909090912</v>
      </c>
      <c r="C47" s="55">
        <f>'بيانات التلاميذ في المادة '!H55/COUNTA('بيانات التلاميذ في المادة '!$G$5:$G$54)</f>
        <v>0.45454545454545453</v>
      </c>
      <c r="D47" s="55">
        <f>'بيانات التلاميذ في المادة '!I55/COUNTA('بيانات التلاميذ في المادة '!$G$5:$G$54)</f>
        <v>0.38636363636363635</v>
      </c>
      <c r="E47" s="67"/>
      <c r="F47" s="45">
        <f>IF(OR('بيانات التلاميذ في المادة '!G45="ج",'بيانات التلاميذ في المادة '!G45=("د")),ROW()-2,"")</f>
        <v>45</v>
      </c>
      <c r="G47" s="45" t="str">
        <f t="shared" si="2"/>
        <v/>
      </c>
      <c r="H47" s="45" t="str">
        <f>IF(OR('بيانات التلاميذ في المادة '!H45="ج",'بيانات التلاميذ في المادة '!H45=("د")),ROW()-2,"")</f>
        <v/>
      </c>
      <c r="I47" s="45" t="str">
        <f t="shared" si="4"/>
        <v/>
      </c>
      <c r="J47" s="10" t="str">
        <f>IF(OR('بيانات التلاميذ في المادة '!I45="ج",'بيانات التلاميذ في المادة '!I45=("د")),ROW()-2,"")</f>
        <v/>
      </c>
      <c r="K47" s="10" t="str">
        <f t="shared" si="5"/>
        <v/>
      </c>
      <c r="L47" s="10"/>
    </row>
    <row r="48" spans="1:12" ht="15" customHeight="1" x14ac:dyDescent="0.25">
      <c r="A48" s="57" t="s">
        <v>1</v>
      </c>
      <c r="B48" s="48">
        <f>'بيانات التلاميذ في المادة '!G56/COUNTA('بيانات التلاميذ في المادة '!$G$5:$G$54)</f>
        <v>0.18181818181818182</v>
      </c>
      <c r="C48" s="48">
        <f>'بيانات التلاميذ في المادة '!H56/COUNTA('بيانات التلاميذ في المادة '!$G$5:$G$54)</f>
        <v>0.15909090909090909</v>
      </c>
      <c r="D48" s="48">
        <f>'بيانات التلاميذ في المادة '!I56/COUNTA('بيانات التلاميذ في المادة '!$G$5:$G$54)</f>
        <v>0.18181818181818182</v>
      </c>
      <c r="E48" s="31"/>
      <c r="F48" s="45">
        <f>IF(OR('بيانات التلاميذ في المادة '!G46="ج",'بيانات التلاميذ في المادة '!G46=("د")),ROW()-2,"")</f>
        <v>46</v>
      </c>
      <c r="G48" s="45" t="str">
        <f t="shared" si="2"/>
        <v/>
      </c>
      <c r="H48" s="45">
        <f>IF(OR('بيانات التلاميذ في المادة '!H46="ج",'بيانات التلاميذ في المادة '!H46=("د")),ROW()-2,"")</f>
        <v>46</v>
      </c>
      <c r="I48" s="45" t="str">
        <f t="shared" si="4"/>
        <v/>
      </c>
      <c r="J48" s="10">
        <f>IF(OR('بيانات التلاميذ في المادة '!I46="ج",'بيانات التلاميذ في المادة '!I46=("د")),ROW()-2,"")</f>
        <v>46</v>
      </c>
      <c r="K48" s="10" t="str">
        <f t="shared" si="5"/>
        <v/>
      </c>
      <c r="L48" s="10"/>
    </row>
    <row r="49" spans="1:12" ht="15" customHeight="1" x14ac:dyDescent="0.25">
      <c r="A49" s="57" t="s">
        <v>2</v>
      </c>
      <c r="B49" s="48">
        <f>'بيانات التلاميذ في المادة '!G57/COUNTA('بيانات التلاميذ في المادة '!$G$5:$G$54)</f>
        <v>0.18181818181818182</v>
      </c>
      <c r="C49" s="48">
        <f>'بيانات التلاميذ في المادة '!H57/COUNTA('بيانات التلاميذ في المادة '!$G$5:$G$54)</f>
        <v>0.13636363636363635</v>
      </c>
      <c r="D49" s="48">
        <f>'بيانات التلاميذ في المادة '!I57/COUNTA('بيانات التلاميذ في المادة '!$G$5:$G$54)</f>
        <v>0.18181818181818182</v>
      </c>
      <c r="E49" s="31"/>
      <c r="F49" s="45" t="str">
        <f>IF(OR('بيانات التلاميذ في المادة '!G47="ج",'بيانات التلاميذ في المادة '!G47=("د")),ROW()-2,"")</f>
        <v/>
      </c>
      <c r="G49" s="45" t="str">
        <f t="shared" si="2"/>
        <v/>
      </c>
      <c r="H49" s="45" t="str">
        <f>IF(OR('بيانات التلاميذ في المادة '!H47="ج",'بيانات التلاميذ في المادة '!H47=("د")),ROW()-2,"")</f>
        <v/>
      </c>
      <c r="I49" s="45" t="str">
        <f t="shared" si="4"/>
        <v/>
      </c>
      <c r="J49" s="10" t="str">
        <f>IF(OR('بيانات التلاميذ في المادة '!I47="ج",'بيانات التلاميذ في المادة '!I47=("د")),ROW()-2,"")</f>
        <v/>
      </c>
      <c r="K49" s="10" t="str">
        <f t="shared" si="5"/>
        <v/>
      </c>
      <c r="L49" s="10"/>
    </row>
    <row r="50" spans="1:12" ht="15" customHeight="1" x14ac:dyDescent="0.25">
      <c r="A50" s="57" t="s">
        <v>3</v>
      </c>
      <c r="B50" s="48">
        <f>'بيانات التلاميذ في المادة '!G58/COUNTA('بيانات التلاميذ في المادة '!$G$5:$G$54)</f>
        <v>0.13636363636363635</v>
      </c>
      <c r="C50" s="48">
        <f>'بيانات التلاميذ في المادة '!H58/COUNTA('بيانات التلاميذ في المادة '!$G$5:$G$54)</f>
        <v>0.15909090909090909</v>
      </c>
      <c r="D50" s="48">
        <f>'بيانات التلاميذ في المادة '!I58/COUNTA('بيانات التلاميذ في المادة '!$G$5:$G$54)</f>
        <v>0.15909090909090909</v>
      </c>
      <c r="E50" s="68"/>
      <c r="F50" s="45" t="str">
        <f>IF(OR('بيانات التلاميذ في المادة '!G48="ج",'بيانات التلاميذ في المادة '!G48=("د")),ROW()-2,"")</f>
        <v/>
      </c>
      <c r="G50" s="45" t="str">
        <f t="shared" si="2"/>
        <v/>
      </c>
      <c r="H50" s="45">
        <f>IF(OR('بيانات التلاميذ في المادة '!H48="ج",'بيانات التلاميذ في المادة '!H48=("د")),ROW()-2,"")</f>
        <v>48</v>
      </c>
      <c r="I50" s="45" t="str">
        <f t="shared" si="4"/>
        <v/>
      </c>
      <c r="J50" s="10">
        <f>IF(OR('بيانات التلاميذ في المادة '!I48="ج",'بيانات التلاميذ في المادة '!I48=("د")),ROW()-2,"")</f>
        <v>48</v>
      </c>
      <c r="K50" s="10" t="str">
        <f t="shared" si="5"/>
        <v/>
      </c>
      <c r="L50" s="10"/>
    </row>
    <row r="51" spans="1:12" ht="15" customHeight="1" thickBot="1" x14ac:dyDescent="0.3">
      <c r="A51" s="66" t="s">
        <v>44</v>
      </c>
      <c r="B51" s="59">
        <f>'بيانات التلاميذ في المادة '!G59/COUNTA('بيانات التلاميذ في المادة '!$G$5:$G$54)</f>
        <v>9.0909090909090912E-2</v>
      </c>
      <c r="C51" s="59">
        <f>'بيانات التلاميذ في المادة '!H59/COUNTA('بيانات التلاميذ في المادة '!$G$5:$G$54)</f>
        <v>9.0909090909090912E-2</v>
      </c>
      <c r="D51" s="59">
        <f>'بيانات التلاميذ في المادة '!I59/COUNTA('بيانات التلاميذ في المادة '!$G$5:$G$54)</f>
        <v>9.0909090909090912E-2</v>
      </c>
      <c r="E51" s="60"/>
      <c r="F51" s="45" t="str">
        <f>IF(OR('بيانات التلاميذ في المادة '!G49="ج",'بيانات التلاميذ في المادة '!G49=("د")),ROW()-2,"")</f>
        <v/>
      </c>
      <c r="G51" s="45" t="str">
        <f t="shared" si="2"/>
        <v/>
      </c>
      <c r="H51" s="45" t="str">
        <f>IF(OR('بيانات التلاميذ في المادة '!H49="ج",'بيانات التلاميذ في المادة '!H49=("د")),ROW()-2,"")</f>
        <v/>
      </c>
      <c r="I51" s="45" t="str">
        <f t="shared" si="4"/>
        <v/>
      </c>
      <c r="J51" s="10" t="str">
        <f>IF(OR('بيانات التلاميذ في المادة '!I49="ج",'بيانات التلاميذ في المادة '!I49=("د")),ROW()-2,"")</f>
        <v/>
      </c>
      <c r="K51" s="10" t="str">
        <f t="shared" si="5"/>
        <v/>
      </c>
      <c r="L51" s="10"/>
    </row>
    <row r="52" spans="1:12" x14ac:dyDescent="0.25">
      <c r="F52" s="45" t="str">
        <f>IF(OR('بيانات التلاميذ في المادة '!G50="ج",'بيانات التلاميذ في المادة '!G50=("د")),ROW()-2,"")</f>
        <v/>
      </c>
      <c r="G52" s="45" t="str">
        <f t="shared" si="2"/>
        <v/>
      </c>
      <c r="H52" s="45" t="str">
        <f>IF(OR('بيانات التلاميذ في المادة '!H50="ج",'بيانات التلاميذ في المادة '!H50=("د")),ROW()-2,"")</f>
        <v/>
      </c>
      <c r="I52" s="45" t="str">
        <f t="shared" si="4"/>
        <v/>
      </c>
      <c r="J52" s="10" t="str">
        <f>IF(OR('بيانات التلاميذ في المادة '!I50="ج",'بيانات التلاميذ في المادة '!I50=("د")),ROW()-2,"")</f>
        <v/>
      </c>
      <c r="K52" s="10" t="str">
        <f t="shared" si="5"/>
        <v/>
      </c>
      <c r="L52" s="10"/>
    </row>
    <row r="53" spans="1:12" x14ac:dyDescent="0.25">
      <c r="F53" s="45" t="str">
        <f>IF(OR('بيانات التلاميذ في المادة '!G51="ج",'بيانات التلاميذ في المادة '!G51=("د")),ROW()-2,"")</f>
        <v/>
      </c>
      <c r="G53" s="45" t="str">
        <f t="shared" si="2"/>
        <v/>
      </c>
      <c r="H53" s="45" t="str">
        <f>IF(OR('بيانات التلاميذ في المادة '!H51="ج",'بيانات التلاميذ في المادة '!H51=("د")),ROW()-2,"")</f>
        <v/>
      </c>
      <c r="I53" s="45" t="str">
        <f t="shared" si="4"/>
        <v/>
      </c>
      <c r="J53" s="10" t="str">
        <f>IF(OR('بيانات التلاميذ في المادة '!I51="ج",'بيانات التلاميذ في المادة '!I51=("د")),ROW()-2,"")</f>
        <v/>
      </c>
      <c r="K53" s="10" t="str">
        <f t="shared" si="5"/>
        <v/>
      </c>
      <c r="L53" s="10"/>
    </row>
    <row r="54" spans="1:12" x14ac:dyDescent="0.25">
      <c r="F54" s="45" t="str">
        <f>IF(OR('بيانات التلاميذ في المادة '!G52="ج",'بيانات التلاميذ في المادة '!G52=("د")),ROW()-2,"")</f>
        <v/>
      </c>
      <c r="G54" s="45" t="str">
        <f t="shared" si="2"/>
        <v/>
      </c>
      <c r="H54" s="45" t="str">
        <f>IF(OR('بيانات التلاميذ في المادة '!H52="ج",'بيانات التلاميذ في المادة '!H52=("د")),ROW()-2,"")</f>
        <v/>
      </c>
      <c r="I54" s="45" t="str">
        <f t="shared" si="4"/>
        <v/>
      </c>
      <c r="J54" s="10" t="str">
        <f>IF(OR('بيانات التلاميذ في المادة '!I52="ج",'بيانات التلاميذ في المادة '!I52=("د")),ROW()-2,"")</f>
        <v/>
      </c>
      <c r="K54" s="10" t="str">
        <f t="shared" si="5"/>
        <v/>
      </c>
      <c r="L54" s="10"/>
    </row>
  </sheetData>
  <sheetProtection algorithmName="SHA-512" hashValue="SKjl628uije1CVeA6fm7eAzZcOeh4TaA6A8NCo4OdVjywKUZlK1Fvo7IzYmJe9oFUGuMrs/oqlrbEVQFgCXuhw==" saltValue="CuLdZKno4Xb4Yl483ric7Q==" spinCount="100000" sheet="1" objects="1" scenarios="1"/>
  <mergeCells count="21">
    <mergeCell ref="L6:M6"/>
    <mergeCell ref="B7:E7"/>
    <mergeCell ref="A9:A10"/>
    <mergeCell ref="B9:B10"/>
    <mergeCell ref="C9:C10"/>
    <mergeCell ref="D9:D10"/>
    <mergeCell ref="E9:E10"/>
    <mergeCell ref="J6:K6"/>
    <mergeCell ref="D5:E5"/>
    <mergeCell ref="A6:E6"/>
    <mergeCell ref="F6:G6"/>
    <mergeCell ref="H6:I6"/>
    <mergeCell ref="D3:E3"/>
    <mergeCell ref="A3:B3"/>
    <mergeCell ref="A4:B4"/>
    <mergeCell ref="A5:B5"/>
    <mergeCell ref="O1:R1"/>
    <mergeCell ref="S1:U1"/>
    <mergeCell ref="A2:E2"/>
    <mergeCell ref="D4:E4"/>
    <mergeCell ref="H4:I4"/>
  </mergeCells>
  <conditionalFormatting sqref="A47">
    <cfRule type="containsText" dxfId="15" priority="13" operator="containsText" text="د">
      <formula>NOT(ISERROR(SEARCH("د",A47)))</formula>
    </cfRule>
    <cfRule type="containsText" dxfId="14" priority="14" operator="containsText" text="ج">
      <formula>NOT(ISERROR(SEARCH("ج",A47)))</formula>
    </cfRule>
    <cfRule type="containsText" dxfId="13" priority="15" operator="containsText" text="ب">
      <formula>NOT(ISERROR(SEARCH("ب",A47)))</formula>
    </cfRule>
    <cfRule type="containsText" dxfId="12" priority="16" operator="containsText" text="أ">
      <formula>NOT(ISERROR(SEARCH("أ",A47)))</formula>
    </cfRule>
  </conditionalFormatting>
  <conditionalFormatting sqref="A48">
    <cfRule type="containsText" dxfId="11" priority="9" operator="containsText" text="د">
      <formula>NOT(ISERROR(SEARCH("د",A48)))</formula>
    </cfRule>
    <cfRule type="containsText" dxfId="10" priority="10" operator="containsText" text="ج">
      <formula>NOT(ISERROR(SEARCH("ج",A48)))</formula>
    </cfRule>
    <cfRule type="containsText" dxfId="9" priority="11" operator="containsText" text="ب">
      <formula>NOT(ISERROR(SEARCH("ب",A48)))</formula>
    </cfRule>
    <cfRule type="containsText" dxfId="8" priority="12" operator="containsText" text="أ">
      <formula>NOT(ISERROR(SEARCH("أ",A48)))</formula>
    </cfRule>
  </conditionalFormatting>
  <conditionalFormatting sqref="A49">
    <cfRule type="containsText" dxfId="7" priority="5" operator="containsText" text="د">
      <formula>NOT(ISERROR(SEARCH("د",A49)))</formula>
    </cfRule>
    <cfRule type="containsText" dxfId="6" priority="6" operator="containsText" text="ج">
      <formula>NOT(ISERROR(SEARCH("ج",A49)))</formula>
    </cfRule>
    <cfRule type="containsText" dxfId="5" priority="7" operator="containsText" text="ب">
      <formula>NOT(ISERROR(SEARCH("ب",A49)))</formula>
    </cfRule>
    <cfRule type="containsText" dxfId="4" priority="8" operator="containsText" text="أ">
      <formula>NOT(ISERROR(SEARCH("أ",A49)))</formula>
    </cfRule>
  </conditionalFormatting>
  <conditionalFormatting sqref="A50">
    <cfRule type="containsText" dxfId="3" priority="1" operator="containsText" text="د">
      <formula>NOT(ISERROR(SEARCH("د",A50)))</formula>
    </cfRule>
    <cfRule type="containsText" dxfId="2" priority="2" operator="containsText" text="ج">
      <formula>NOT(ISERROR(SEARCH("ج",A50)))</formula>
    </cfRule>
    <cfRule type="containsText" dxfId="1" priority="3" operator="containsText" text="ب">
      <formula>NOT(ISERROR(SEARCH("ب",A50)))</formula>
    </cfRule>
    <cfRule type="containsText" dxfId="0" priority="4" operator="containsText" text="أ">
      <formula>NOT(ISERROR(SEARCH("أ",A50)))</formula>
    </cfRule>
  </conditionalFormatting>
  <pageMargins left="0.31496062992125984" right="0.31496062992125984" top="0.35433070866141736" bottom="0.35433070866141736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E7EA-F412-43AB-B9D3-09883DA70841}">
  <dimension ref="B5:K16"/>
  <sheetViews>
    <sheetView rightToLeft="1" workbookViewId="0"/>
  </sheetViews>
  <sheetFormatPr baseColWidth="10" defaultRowHeight="15" x14ac:dyDescent="0.25"/>
  <cols>
    <col min="1" max="16384" width="11.42578125" style="10"/>
  </cols>
  <sheetData>
    <row r="5" spans="2:11" ht="18.75" x14ac:dyDescent="0.25">
      <c r="C5" s="71"/>
      <c r="D5" s="147"/>
      <c r="E5" s="147"/>
      <c r="F5" s="147"/>
      <c r="G5" s="147"/>
      <c r="H5" s="147"/>
      <c r="I5" s="71"/>
      <c r="J5" s="71"/>
      <c r="K5" s="71"/>
    </row>
    <row r="6" spans="2:11" x14ac:dyDescent="0.25">
      <c r="C6" s="72"/>
      <c r="D6" s="71"/>
      <c r="I6" s="71"/>
      <c r="J6" s="71"/>
      <c r="K6" s="71"/>
    </row>
    <row r="7" spans="2:11" x14ac:dyDescent="0.25">
      <c r="C7" s="72"/>
      <c r="D7" s="72"/>
      <c r="E7" s="72"/>
      <c r="F7" s="73"/>
      <c r="G7" s="71"/>
      <c r="H7" s="72"/>
      <c r="I7" s="71"/>
      <c r="J7" s="71"/>
      <c r="K7" s="71"/>
    </row>
    <row r="8" spans="2:11" ht="20.25" customHeight="1" x14ac:dyDescent="0.25">
      <c r="C8" s="71"/>
      <c r="D8" s="149" t="s">
        <v>46</v>
      </c>
      <c r="E8" s="149"/>
      <c r="F8" s="149"/>
      <c r="G8" s="149"/>
      <c r="H8" s="149"/>
      <c r="I8" s="71"/>
      <c r="J8" s="71"/>
      <c r="K8" s="71"/>
    </row>
    <row r="9" spans="2:11" ht="18.75" customHeight="1" x14ac:dyDescent="0.3">
      <c r="C9" s="74"/>
      <c r="D9" s="149"/>
      <c r="E9" s="149"/>
      <c r="F9" s="149"/>
      <c r="G9" s="149"/>
      <c r="H9" s="149"/>
      <c r="I9" s="71"/>
      <c r="J9" s="71"/>
      <c r="K9" s="71"/>
    </row>
    <row r="10" spans="2:11" ht="20.25" customHeight="1" x14ac:dyDescent="0.25">
      <c r="B10" s="148" t="s">
        <v>48</v>
      </c>
      <c r="C10" s="148"/>
      <c r="D10" s="148"/>
      <c r="E10" s="148"/>
      <c r="F10" s="148"/>
      <c r="G10" s="148"/>
      <c r="H10" s="148"/>
      <c r="I10" s="148"/>
      <c r="J10" s="148"/>
      <c r="K10" s="71"/>
    </row>
    <row r="11" spans="2:11" ht="16.5" x14ac:dyDescent="0.25">
      <c r="C11" s="72"/>
      <c r="D11" s="150" t="s">
        <v>52</v>
      </c>
      <c r="E11" s="150"/>
      <c r="F11" s="150"/>
      <c r="G11" s="150"/>
      <c r="H11" s="150"/>
      <c r="I11" s="71"/>
      <c r="J11" s="71"/>
      <c r="K11" s="71"/>
    </row>
    <row r="12" spans="2:11" x14ac:dyDescent="0.25">
      <c r="C12" s="72"/>
      <c r="D12" s="145" t="s">
        <v>47</v>
      </c>
      <c r="E12" s="145"/>
      <c r="F12" s="145"/>
      <c r="G12" s="145"/>
      <c r="H12" s="145"/>
      <c r="I12" s="71"/>
      <c r="J12" s="71"/>
      <c r="K12" s="71"/>
    </row>
    <row r="13" spans="2:11" x14ac:dyDescent="0.25">
      <c r="C13" s="71"/>
      <c r="D13" s="71"/>
      <c r="E13" s="71"/>
      <c r="F13" s="71"/>
      <c r="G13" s="71"/>
      <c r="H13" s="71"/>
      <c r="I13" s="71"/>
      <c r="J13" s="71"/>
      <c r="K13" s="71"/>
    </row>
    <row r="14" spans="2:11" ht="18.75" x14ac:dyDescent="0.3">
      <c r="B14" s="146" t="s">
        <v>49</v>
      </c>
      <c r="C14" s="146"/>
      <c r="D14" s="146"/>
      <c r="E14" s="146"/>
      <c r="F14" s="146"/>
      <c r="G14" s="146"/>
      <c r="H14" s="146"/>
      <c r="I14" s="146"/>
      <c r="J14" s="146"/>
      <c r="K14" s="71"/>
    </row>
    <row r="15" spans="2:11" ht="18.75" x14ac:dyDescent="0.3">
      <c r="B15" s="146" t="s">
        <v>51</v>
      </c>
      <c r="C15" s="146"/>
      <c r="D15" s="146"/>
      <c r="E15" s="146"/>
      <c r="F15" s="146"/>
      <c r="G15" s="146"/>
      <c r="H15" s="146"/>
      <c r="I15" s="146"/>
      <c r="J15" s="146"/>
      <c r="K15" s="71"/>
    </row>
    <row r="16" spans="2:11" ht="18.75" x14ac:dyDescent="0.3">
      <c r="B16" s="146" t="s">
        <v>50</v>
      </c>
      <c r="C16" s="146"/>
      <c r="D16" s="146"/>
      <c r="E16" s="146"/>
      <c r="F16" s="146"/>
      <c r="G16" s="146"/>
      <c r="H16" s="146"/>
      <c r="I16" s="146"/>
      <c r="J16" s="146"/>
    </row>
  </sheetData>
  <sheetProtection algorithmName="SHA-512" hashValue="xheWdTXmMTEIzY8/ezRO+MNSfL+Gpkf4l/yVjFyIziN1bcUD9zaDynQVkY0QSc4HEHab9E7GI+vYnJiu8HN4GQ==" saltValue="DvuKNK3Zv7vRbzunei88vg==" spinCount="100000" sheet="1" objects="1" scenarios="1"/>
  <mergeCells count="8">
    <mergeCell ref="D12:H12"/>
    <mergeCell ref="B14:J14"/>
    <mergeCell ref="B15:J15"/>
    <mergeCell ref="B16:J16"/>
    <mergeCell ref="D5:H5"/>
    <mergeCell ref="B10:J10"/>
    <mergeCell ref="D8:H9"/>
    <mergeCell ref="D11:H11"/>
  </mergeCells>
  <hyperlinks>
    <hyperlink ref="D12" r:id="rId1" xr:uid="{EA719EAB-1AEB-4AAF-A4C9-216F6EB34E09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5</vt:i4>
      </vt:variant>
    </vt:vector>
  </HeadingPairs>
  <TitlesOfParts>
    <vt:vector size="11" baseType="lpstr">
      <vt:lpstr>بيانات التلاميذ في المادة </vt:lpstr>
      <vt:lpstr>بيانات التلاميذ الكفاءة 1</vt:lpstr>
      <vt:lpstr>بيانات التلاميذ الكفاءة 2</vt:lpstr>
      <vt:lpstr>التلاميذ للمعالجة الكفاءة 1</vt:lpstr>
      <vt:lpstr>التلاميذ للمعالجة الكفاءة 2</vt:lpstr>
      <vt:lpstr>اعداد</vt:lpstr>
      <vt:lpstr>'التلاميذ للمعالجة الكفاءة 1'!Zone_d_impression</vt:lpstr>
      <vt:lpstr>'التلاميذ للمعالجة الكفاءة 2'!Zone_d_impression</vt:lpstr>
      <vt:lpstr>'بيانات التلاميذ الكفاءة 1'!Zone_d_impression</vt:lpstr>
      <vt:lpstr>'بيانات التلاميذ الكفاءة 2'!Zone_d_impression</vt:lpstr>
      <vt:lpstr>'بيانات التلاميذ في المادة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البطاقة التحليلية</dc:title>
  <dc:creator>DoN</dc:creator>
  <cp:lastModifiedBy>MOHAMED</cp:lastModifiedBy>
  <cp:lastPrinted>2023-09-24T19:59:26Z</cp:lastPrinted>
  <dcterms:created xsi:type="dcterms:W3CDTF">2023-09-02T19:07:01Z</dcterms:created>
  <dcterms:modified xsi:type="dcterms:W3CDTF">2023-09-24T20:01:13Z</dcterms:modified>
</cp:coreProperties>
</file>