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2\Desktop\"/>
    </mc:Choice>
  </mc:AlternateContent>
  <xr:revisionPtr revIDLastSave="0" documentId="13_ncr:1_{AC8C32E5-136F-4057-A30B-06A4DDFB7F8B}" xr6:coauthVersionLast="47" xr6:coauthVersionMax="47" xr10:uidLastSave="{00000000-0000-0000-0000-000000000000}"/>
  <bookViews>
    <workbookView xWindow="-108" yWindow="-108" windowWidth="23256" windowHeight="12576" activeTab="7" xr2:uid="{63BD773F-FC58-46D8-899F-A6D03FCC2AB9}"/>
  </bookViews>
  <sheets>
    <sheet name="3am1" sheetId="6" r:id="rId1"/>
    <sheet name="3am2" sheetId="5" r:id="rId2"/>
    <sheet name="3am3" sheetId="4" r:id="rId3"/>
    <sheet name="3am4" sheetId="3" r:id="rId4"/>
    <sheet name="3am5" sheetId="1" r:id="rId5"/>
    <sheet name="3am6" sheetId="8" r:id="rId6"/>
    <sheet name="3am7" sheetId="9" r:id="rId7"/>
    <sheet name="احصائيات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7" l="1"/>
  <c r="G9" i="7"/>
  <c r="F10" i="7"/>
  <c r="F9" i="7"/>
  <c r="E9" i="7"/>
  <c r="E10" i="7"/>
  <c r="D10" i="7"/>
  <c r="D8" i="7"/>
  <c r="C10" i="7"/>
  <c r="C9" i="7"/>
  <c r="D68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D71" i="9" s="1"/>
  <c r="D68" i="8"/>
  <c r="D9" i="7" s="1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C8" i="7"/>
  <c r="C7" i="7"/>
  <c r="C6" i="7"/>
  <c r="C5" i="7"/>
  <c r="C4" i="7"/>
  <c r="D68" i="6"/>
  <c r="D4" i="7" s="1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D68" i="5"/>
  <c r="D5" i="7" s="1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D68" i="4"/>
  <c r="D6" i="7" s="1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D68" i="3"/>
  <c r="D7" i="7" s="1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D6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8" i="1"/>
  <c r="D71" i="8" l="1"/>
  <c r="D69" i="9"/>
  <c r="E69" i="9" s="1"/>
  <c r="D70" i="9"/>
  <c r="E70" i="9" s="1"/>
  <c r="D69" i="8"/>
  <c r="E69" i="8" s="1"/>
  <c r="D70" i="8"/>
  <c r="E70" i="8" s="1"/>
  <c r="D71" i="3"/>
  <c r="D71" i="4"/>
  <c r="D71" i="5"/>
  <c r="D12" i="7"/>
  <c r="D71" i="6"/>
  <c r="D70" i="6"/>
  <c r="D69" i="6"/>
  <c r="D70" i="5"/>
  <c r="D69" i="5"/>
  <c r="D70" i="4"/>
  <c r="D69" i="4"/>
  <c r="D70" i="3"/>
  <c r="D69" i="3"/>
  <c r="D69" i="1"/>
  <c r="D70" i="1"/>
  <c r="D71" i="1"/>
  <c r="E70" i="1" l="1"/>
  <c r="F8" i="7"/>
  <c r="E69" i="1"/>
  <c r="G8" i="7" s="1"/>
  <c r="E8" i="7"/>
  <c r="E69" i="3"/>
  <c r="G7" i="7" s="1"/>
  <c r="E7" i="7"/>
  <c r="E70" i="3"/>
  <c r="F7" i="7"/>
  <c r="E70" i="4"/>
  <c r="F6" i="7"/>
  <c r="E69" i="4"/>
  <c r="G6" i="7" s="1"/>
  <c r="E6" i="7"/>
  <c r="E69" i="5"/>
  <c r="G5" i="7" s="1"/>
  <c r="E5" i="7"/>
  <c r="E70" i="5"/>
  <c r="F5" i="7"/>
  <c r="E69" i="6"/>
  <c r="G4" i="7" s="1"/>
  <c r="E4" i="7"/>
  <c r="E70" i="6"/>
  <c r="F4" i="7"/>
  <c r="E12" i="7" l="1"/>
  <c r="G12" i="7"/>
  <c r="F12" i="7"/>
</calcChain>
</file>

<file path=xl/sharedStrings.xml><?xml version="1.0" encoding="utf-8"?>
<sst xmlns="http://schemas.openxmlformats.org/spreadsheetml/2006/main" count="724" uniqueCount="83">
  <si>
    <t>الرقم</t>
  </si>
  <si>
    <t>التقويم</t>
  </si>
  <si>
    <t>الفرض</t>
  </si>
  <si>
    <t>الاختبار</t>
  </si>
  <si>
    <t>المعامل</t>
  </si>
  <si>
    <t>معدل المادة</t>
  </si>
  <si>
    <t>الملاحظة</t>
  </si>
  <si>
    <t>تعداد القسم</t>
  </si>
  <si>
    <t>الناجحين</t>
  </si>
  <si>
    <t>الراسبين</t>
  </si>
  <si>
    <t>اللقب</t>
  </si>
  <si>
    <t>الاسم</t>
  </si>
  <si>
    <t xml:space="preserve">      نتائج الفصل الأول للموسم الدراسي 2022/2023</t>
  </si>
  <si>
    <t>المادة: علوم فيزيائية وتكنولوجيا</t>
  </si>
  <si>
    <t>القسم</t>
  </si>
  <si>
    <t>عدد التلاميذ</t>
  </si>
  <si>
    <t>نسبة النجاح</t>
  </si>
  <si>
    <t>المجموع</t>
  </si>
  <si>
    <t>3م1</t>
  </si>
  <si>
    <t xml:space="preserve">      نتائج الفصل الأول للموسم الدراسي 2023/2024</t>
  </si>
  <si>
    <t>3م2</t>
  </si>
  <si>
    <t>3م3</t>
  </si>
  <si>
    <t>أحمد</t>
  </si>
  <si>
    <t>3م5</t>
  </si>
  <si>
    <t>3م4</t>
  </si>
  <si>
    <t>محمد1</t>
  </si>
  <si>
    <t>محمد2</t>
  </si>
  <si>
    <t>محمد3</t>
  </si>
  <si>
    <t>محمد4</t>
  </si>
  <si>
    <t>محمد5</t>
  </si>
  <si>
    <t>محمد6</t>
  </si>
  <si>
    <t>محمد7</t>
  </si>
  <si>
    <t>محمد8</t>
  </si>
  <si>
    <t>محمد9</t>
  </si>
  <si>
    <t>محمد10</t>
  </si>
  <si>
    <t>محمد11</t>
  </si>
  <si>
    <t>محمد12</t>
  </si>
  <si>
    <t>محمد13</t>
  </si>
  <si>
    <t>محمد14</t>
  </si>
  <si>
    <t>محمد15</t>
  </si>
  <si>
    <t>محمد16</t>
  </si>
  <si>
    <t>محمد17</t>
  </si>
  <si>
    <t>محمد18</t>
  </si>
  <si>
    <t>محمد19</t>
  </si>
  <si>
    <t>محمد20</t>
  </si>
  <si>
    <t>محمد21</t>
  </si>
  <si>
    <t>محمد22</t>
  </si>
  <si>
    <t>محمد23</t>
  </si>
  <si>
    <t>محمد24</t>
  </si>
  <si>
    <t>محمد25</t>
  </si>
  <si>
    <t>محمد26</t>
  </si>
  <si>
    <t>محمد27</t>
  </si>
  <si>
    <t>محمد28</t>
  </si>
  <si>
    <t>محمد29</t>
  </si>
  <si>
    <t>محمد30</t>
  </si>
  <si>
    <t>محمد31</t>
  </si>
  <si>
    <t>محمد32</t>
  </si>
  <si>
    <t>محمد33</t>
  </si>
  <si>
    <t>محمد34</t>
  </si>
  <si>
    <t>محمد35</t>
  </si>
  <si>
    <t>محمد36</t>
  </si>
  <si>
    <t>محمد37</t>
  </si>
  <si>
    <t>محمد38</t>
  </si>
  <si>
    <t>محمد39</t>
  </si>
  <si>
    <t>محمد40</t>
  </si>
  <si>
    <t>محمد41</t>
  </si>
  <si>
    <t>محمد42</t>
  </si>
  <si>
    <t>محمد43</t>
  </si>
  <si>
    <t>متوسطة الشهيد ..............................</t>
  </si>
  <si>
    <t>متوسطة..............................</t>
  </si>
  <si>
    <t>متوسطة الشهيد ...........................</t>
  </si>
  <si>
    <t>متوسطة الشهيد ..........................</t>
  </si>
  <si>
    <t>متوسطة الشهيد ....................................</t>
  </si>
  <si>
    <t>الأستاذ: ..........................</t>
  </si>
  <si>
    <t>الأستاذ: .........................</t>
  </si>
  <si>
    <t>الأستاذ:...........................</t>
  </si>
  <si>
    <t>الأستاذ:........................</t>
  </si>
  <si>
    <t>3م6</t>
  </si>
  <si>
    <t>3م7</t>
  </si>
  <si>
    <t>محمد44</t>
  </si>
  <si>
    <t>محمد45</t>
  </si>
  <si>
    <t>محمد46</t>
  </si>
  <si>
    <t>محمد47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</si>
</sst>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Simplified Arabic"/>
      <family val="1"/>
    </font>
    <font>
      <b/>
      <sz val="16"/>
      <color theme="1"/>
      <name val="Simplified Arabic"/>
      <family val="1"/>
    </font>
    <font>
      <b/>
      <sz val="12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6"/>
      <color theme="1"/>
      <name val="Calibri"/>
      <family val="2"/>
      <scheme val="minor"/>
    </font>
    <font>
      <sz val="14"/>
      <color theme="1"/>
      <name val="Simplified Arabic"/>
      <family val="1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0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DZ"/>
              <a:t>نسبة النجاح في القسم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959-4E9C-B6D5-0D05F9F4000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959-4E9C-B6D5-0D05F9F400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'3am1'!$B$69:$B$70</c:f>
              <c:strCache>
                <c:ptCount val="2"/>
                <c:pt idx="0">
                  <c:v>الناجحين</c:v>
                </c:pt>
                <c:pt idx="1">
                  <c:v>الراسبين</c:v>
                </c:pt>
              </c:strCache>
            </c:strRef>
          </c:cat>
          <c:val>
            <c:numRef>
              <c:f>'3am1'!$D$69:$D$70</c:f>
              <c:numCache>
                <c:formatCode>General</c:formatCode>
                <c:ptCount val="2"/>
                <c:pt idx="0">
                  <c:v>27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59-4E9C-B6D5-0D05F9F4000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089763779527559"/>
          <c:y val="0.8431707494896471"/>
          <c:w val="0.35209361329833772"/>
          <c:h val="0.129051472732575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DZ"/>
              <a:t>نسبة النجاح في القسم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614-4E0B-81AD-FF030B8978B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614-4E0B-81AD-FF030B8978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'3am2'!$B$69:$B$70</c:f>
              <c:strCache>
                <c:ptCount val="2"/>
                <c:pt idx="0">
                  <c:v>الناجحين</c:v>
                </c:pt>
                <c:pt idx="1">
                  <c:v>الراسبين</c:v>
                </c:pt>
              </c:strCache>
            </c:strRef>
          </c:cat>
          <c:val>
            <c:numRef>
              <c:f>'3am2'!$D$69:$D$70</c:f>
              <c:numCache>
                <c:formatCode>General</c:formatCode>
                <c:ptCount val="2"/>
                <c:pt idx="0">
                  <c:v>30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14-4E0B-81AD-FF030B8978B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089763779527559"/>
          <c:y val="0.8431707494896471"/>
          <c:w val="0.35209361329833772"/>
          <c:h val="0.129051472732575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DZ"/>
              <a:t>نسبة النجاح في القسم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C6F-404F-9CD9-8B2D0DF175E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C6F-404F-9CD9-8B2D0DF175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'3am3'!$B$69:$B$70</c:f>
              <c:strCache>
                <c:ptCount val="2"/>
                <c:pt idx="0">
                  <c:v>الناجحين</c:v>
                </c:pt>
                <c:pt idx="1">
                  <c:v>الراسبين</c:v>
                </c:pt>
              </c:strCache>
            </c:strRef>
          </c:cat>
          <c:val>
            <c:numRef>
              <c:f>'3am3'!$D$69:$D$70</c:f>
              <c:numCache>
                <c:formatCode>General</c:formatCode>
                <c:ptCount val="2"/>
                <c:pt idx="0">
                  <c:v>27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6F-404F-9CD9-8B2D0DF175E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089763779527559"/>
          <c:y val="0.8431707494896471"/>
          <c:w val="0.35209361329833772"/>
          <c:h val="0.129051472732575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DZ"/>
              <a:t>نسبة النجاح في القسم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CC-457C-8140-FEDF08805B8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CC-457C-8140-FEDF08805B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'3am4'!$B$69:$B$70</c:f>
              <c:strCache>
                <c:ptCount val="2"/>
                <c:pt idx="0">
                  <c:v>الناجحين</c:v>
                </c:pt>
                <c:pt idx="1">
                  <c:v>الراسبين</c:v>
                </c:pt>
              </c:strCache>
            </c:strRef>
          </c:cat>
          <c:val>
            <c:numRef>
              <c:f>'3am4'!$D$69:$D$70</c:f>
              <c:numCache>
                <c:formatCode>General</c:formatCode>
                <c:ptCount val="2"/>
                <c:pt idx="0">
                  <c:v>25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CC-457C-8140-FEDF08805B8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089763779527559"/>
          <c:y val="0.8431707494896471"/>
          <c:w val="0.35209361329833772"/>
          <c:h val="0.129051472732575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DZ"/>
              <a:t>نسبة النجاح في القسم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F8D-4586-9F5E-C3FDC7BAEBF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F8D-4586-9F5E-C3FDC7BAEB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'3am5'!$B$69:$B$70</c:f>
              <c:strCache>
                <c:ptCount val="2"/>
                <c:pt idx="0">
                  <c:v>الناجحين</c:v>
                </c:pt>
                <c:pt idx="1">
                  <c:v>الراسبين</c:v>
                </c:pt>
              </c:strCache>
            </c:strRef>
          </c:cat>
          <c:val>
            <c:numRef>
              <c:f>'3am5'!$D$69:$D$70</c:f>
              <c:numCache>
                <c:formatCode>General</c:formatCode>
                <c:ptCount val="2"/>
                <c:pt idx="0">
                  <c:v>28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4-4A63-A3A7-D38C329384E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089763779527559"/>
          <c:y val="0.8431707494896471"/>
          <c:w val="0.35209361329833772"/>
          <c:h val="0.129051472732575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DZ"/>
              <a:t>نسبة النجاح في القسم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F2B-480C-9B42-DBF04D059E9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2B-480C-9B42-DBF04D059E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'3am6'!$B$69:$B$70</c:f>
              <c:strCache>
                <c:ptCount val="2"/>
                <c:pt idx="0">
                  <c:v>الناجحين</c:v>
                </c:pt>
                <c:pt idx="1">
                  <c:v>الراسبين</c:v>
                </c:pt>
              </c:strCache>
            </c:strRef>
          </c:cat>
          <c:val>
            <c:numRef>
              <c:f>'3am6'!$D$69:$D$70</c:f>
              <c:numCache>
                <c:formatCode>General</c:formatCode>
                <c:ptCount val="2"/>
                <c:pt idx="0">
                  <c:v>33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2B-480C-9B42-DBF04D059E9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089763779527559"/>
          <c:y val="0.8431707494896471"/>
          <c:w val="0.35209361329833772"/>
          <c:h val="0.129051472732575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DZ"/>
              <a:t>نسبة النجاح في القسم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FB3-4901-90B8-488729285E2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FB3-4901-90B8-488729285E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'3am7'!$B$69:$B$70</c:f>
              <c:strCache>
                <c:ptCount val="2"/>
                <c:pt idx="0">
                  <c:v>الناجحين</c:v>
                </c:pt>
                <c:pt idx="1">
                  <c:v>الراسبين</c:v>
                </c:pt>
              </c:strCache>
            </c:strRef>
          </c:cat>
          <c:val>
            <c:numRef>
              <c:f>'3am7'!$D$69:$D$70</c:f>
              <c:numCache>
                <c:formatCode>General</c:formatCode>
                <c:ptCount val="2"/>
                <c:pt idx="0">
                  <c:v>28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B3-4901-90B8-488729285E2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089763779527559"/>
          <c:y val="0.8431707494896471"/>
          <c:w val="0.35209361329833772"/>
          <c:h val="0.129051472732575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67</xdr:row>
      <xdr:rowOff>19050</xdr:rowOff>
    </xdr:from>
    <xdr:to>
      <xdr:col>9</xdr:col>
      <xdr:colOff>7620</xdr:colOff>
      <xdr:row>80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DE0959-1298-4919-9041-82A691DC1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67</xdr:row>
      <xdr:rowOff>19050</xdr:rowOff>
    </xdr:from>
    <xdr:to>
      <xdr:col>9</xdr:col>
      <xdr:colOff>7620</xdr:colOff>
      <xdr:row>80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5D4605-89B7-410C-96D6-7C1E97B59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67</xdr:row>
      <xdr:rowOff>19050</xdr:rowOff>
    </xdr:from>
    <xdr:to>
      <xdr:col>9</xdr:col>
      <xdr:colOff>7620</xdr:colOff>
      <xdr:row>80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EE2AEF-0BEA-4C0F-85B5-643785B6A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67</xdr:row>
      <xdr:rowOff>19050</xdr:rowOff>
    </xdr:from>
    <xdr:to>
      <xdr:col>9</xdr:col>
      <xdr:colOff>7620</xdr:colOff>
      <xdr:row>80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EEFF1-E0D5-48B5-A692-049FACDE8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67</xdr:row>
      <xdr:rowOff>19050</xdr:rowOff>
    </xdr:from>
    <xdr:to>
      <xdr:col>9</xdr:col>
      <xdr:colOff>7620</xdr:colOff>
      <xdr:row>80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D8D1A5-5BE5-890A-B2AF-94B02464B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67</xdr:row>
      <xdr:rowOff>19050</xdr:rowOff>
    </xdr:from>
    <xdr:to>
      <xdr:col>9</xdr:col>
      <xdr:colOff>7620</xdr:colOff>
      <xdr:row>80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054AF-D0E1-4C8B-9957-E24F3A596D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67</xdr:row>
      <xdr:rowOff>19050</xdr:rowOff>
    </xdr:from>
    <xdr:to>
      <xdr:col>9</xdr:col>
      <xdr:colOff>7620</xdr:colOff>
      <xdr:row>80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4ABDE9-5117-47AD-878A-15B6A9B67E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432E7-5A00-4DEF-A6E0-EE22F51440A8}">
  <dimension ref="A1:I71"/>
  <sheetViews>
    <sheetView rightToLeft="1" topLeftCell="A37" zoomScale="85" zoomScaleNormal="85" workbookViewId="0">
      <selection activeCell="B5" sqref="B5"/>
    </sheetView>
  </sheetViews>
  <sheetFormatPr defaultRowHeight="14.4" x14ac:dyDescent="0.3"/>
  <cols>
    <col min="1" max="1" width="4.6640625" customWidth="1"/>
    <col min="2" max="3" width="16.21875" customWidth="1"/>
    <col min="4" max="4" width="9" bestFit="1" customWidth="1"/>
    <col min="5" max="5" width="11.33203125" bestFit="1" customWidth="1"/>
    <col min="8" max="8" width="12.88671875" style="1" customWidth="1"/>
    <col min="9" max="9" width="16.21875" customWidth="1"/>
  </cols>
  <sheetData>
    <row r="1" spans="1:9" ht="27" x14ac:dyDescent="0.85">
      <c r="A1" s="25" t="s">
        <v>72</v>
      </c>
      <c r="B1" s="25"/>
      <c r="C1" s="25"/>
      <c r="D1" s="25"/>
      <c r="E1" s="25"/>
      <c r="F1" s="25"/>
      <c r="G1" s="25"/>
      <c r="H1" s="25"/>
      <c r="I1" s="25"/>
    </row>
    <row r="2" spans="1:9" ht="19.2" customHeight="1" x14ac:dyDescent="0.3">
      <c r="C2" s="26" t="s">
        <v>19</v>
      </c>
      <c r="D2" s="26"/>
      <c r="E2" s="26"/>
      <c r="F2" s="26"/>
      <c r="G2" s="26"/>
      <c r="I2" s="12" t="s">
        <v>18</v>
      </c>
    </row>
    <row r="3" spans="1:9" ht="14.4" customHeight="1" x14ac:dyDescent="0.3">
      <c r="C3" s="26"/>
      <c r="D3" s="26"/>
      <c r="E3" s="26"/>
      <c r="F3" s="26"/>
      <c r="G3" s="26"/>
      <c r="I3" s="14"/>
    </row>
    <row r="4" spans="1:9" x14ac:dyDescent="0.3">
      <c r="C4" s="26"/>
      <c r="D4" s="26"/>
      <c r="E4" s="26"/>
      <c r="F4" s="26"/>
      <c r="G4" s="26"/>
    </row>
    <row r="5" spans="1:9" ht="15.6" x14ac:dyDescent="0.3">
      <c r="B5" s="11" t="s">
        <v>73</v>
      </c>
    </row>
    <row r="6" spans="1:9" ht="15.6" x14ac:dyDescent="0.3">
      <c r="B6" s="11" t="s">
        <v>13</v>
      </c>
    </row>
    <row r="7" spans="1:9" s="1" customFormat="1" ht="27" x14ac:dyDescent="0.85">
      <c r="A7" s="9" t="s">
        <v>0</v>
      </c>
      <c r="B7" s="9" t="s">
        <v>10</v>
      </c>
      <c r="C7" s="9" t="s">
        <v>11</v>
      </c>
      <c r="D7" s="9" t="s">
        <v>1</v>
      </c>
      <c r="E7" s="9" t="s">
        <v>2</v>
      </c>
      <c r="F7" s="9" t="s">
        <v>3</v>
      </c>
      <c r="G7" s="9" t="s">
        <v>4</v>
      </c>
      <c r="H7" s="9" t="s">
        <v>5</v>
      </c>
      <c r="I7" s="9" t="s">
        <v>6</v>
      </c>
    </row>
    <row r="8" spans="1:9" ht="27" x14ac:dyDescent="0.85">
      <c r="A8" s="2">
        <v>1</v>
      </c>
      <c r="B8" s="10" t="s">
        <v>25</v>
      </c>
      <c r="C8" s="10" t="s">
        <v>22</v>
      </c>
      <c r="D8" s="2">
        <v>12</v>
      </c>
      <c r="E8" s="2">
        <v>7</v>
      </c>
      <c r="F8" s="2">
        <v>5</v>
      </c>
      <c r="G8" s="2">
        <v>2</v>
      </c>
      <c r="H8" s="3">
        <f>IF(ISBLANK(B8)," ",(D8+E8+F8*4)/6)</f>
        <v>6.5</v>
      </c>
      <c r="I8" s="4"/>
    </row>
    <row r="9" spans="1:9" ht="27" x14ac:dyDescent="0.85">
      <c r="A9" s="2">
        <v>2</v>
      </c>
      <c r="B9" s="10" t="s">
        <v>26</v>
      </c>
      <c r="C9" s="10" t="s">
        <v>22</v>
      </c>
      <c r="D9" s="2">
        <v>16</v>
      </c>
      <c r="E9" s="2">
        <v>17.5</v>
      </c>
      <c r="F9" s="2">
        <v>15</v>
      </c>
      <c r="G9" s="2">
        <v>2</v>
      </c>
      <c r="H9" s="3">
        <f t="shared" ref="H9:H66" si="0">IF(ISBLANK(B9)," ",(D9+E9+F9*4)/6)</f>
        <v>15.583333333333334</v>
      </c>
      <c r="I9" s="4"/>
    </row>
    <row r="10" spans="1:9" ht="27" x14ac:dyDescent="0.85">
      <c r="A10" s="2">
        <v>3</v>
      </c>
      <c r="B10" s="10" t="s">
        <v>27</v>
      </c>
      <c r="C10" s="10" t="s">
        <v>22</v>
      </c>
      <c r="D10" s="2">
        <v>16</v>
      </c>
      <c r="E10" s="2">
        <v>10</v>
      </c>
      <c r="F10" s="2">
        <v>7.5</v>
      </c>
      <c r="G10" s="2">
        <v>2</v>
      </c>
      <c r="H10" s="3">
        <f t="shared" si="0"/>
        <v>9.3333333333333339</v>
      </c>
      <c r="I10" s="4"/>
    </row>
    <row r="11" spans="1:9" ht="27" x14ac:dyDescent="0.85">
      <c r="A11" s="2">
        <v>4</v>
      </c>
      <c r="B11" s="10" t="s">
        <v>28</v>
      </c>
      <c r="C11" s="10" t="s">
        <v>22</v>
      </c>
      <c r="D11" s="2">
        <v>18</v>
      </c>
      <c r="E11" s="2">
        <v>16.5</v>
      </c>
      <c r="F11" s="2">
        <v>15.5</v>
      </c>
      <c r="G11" s="2">
        <v>2</v>
      </c>
      <c r="H11" s="3">
        <f t="shared" si="0"/>
        <v>16.083333333333332</v>
      </c>
      <c r="I11" s="4"/>
    </row>
    <row r="12" spans="1:9" ht="27" x14ac:dyDescent="0.85">
      <c r="A12" s="2">
        <v>5</v>
      </c>
      <c r="B12" s="10" t="s">
        <v>29</v>
      </c>
      <c r="C12" s="10" t="s">
        <v>22</v>
      </c>
      <c r="D12" s="2">
        <v>15</v>
      </c>
      <c r="E12" s="2">
        <v>13</v>
      </c>
      <c r="F12" s="2">
        <v>13.5</v>
      </c>
      <c r="G12" s="2">
        <v>2</v>
      </c>
      <c r="H12" s="3">
        <f t="shared" si="0"/>
        <v>13.666666666666666</v>
      </c>
      <c r="I12" s="4"/>
    </row>
    <row r="13" spans="1:9" ht="27" x14ac:dyDescent="0.85">
      <c r="A13" s="2">
        <v>6</v>
      </c>
      <c r="B13" s="10" t="s">
        <v>30</v>
      </c>
      <c r="C13" s="10" t="s">
        <v>22</v>
      </c>
      <c r="D13" s="2">
        <v>18</v>
      </c>
      <c r="E13" s="2">
        <v>18.5</v>
      </c>
      <c r="F13" s="2">
        <v>15</v>
      </c>
      <c r="G13" s="2">
        <v>2</v>
      </c>
      <c r="H13" s="3">
        <f t="shared" si="0"/>
        <v>16.083333333333332</v>
      </c>
      <c r="I13" s="4"/>
    </row>
    <row r="14" spans="1:9" ht="27" x14ac:dyDescent="0.85">
      <c r="A14" s="2">
        <v>7</v>
      </c>
      <c r="B14" s="10" t="s">
        <v>31</v>
      </c>
      <c r="C14" s="10" t="s">
        <v>22</v>
      </c>
      <c r="D14" s="2">
        <v>13</v>
      </c>
      <c r="E14" s="2">
        <v>10.5</v>
      </c>
      <c r="F14" s="2">
        <v>4</v>
      </c>
      <c r="G14" s="2">
        <v>2</v>
      </c>
      <c r="H14" s="3">
        <f t="shared" si="0"/>
        <v>6.583333333333333</v>
      </c>
      <c r="I14" s="4"/>
    </row>
    <row r="15" spans="1:9" ht="27" x14ac:dyDescent="0.85">
      <c r="A15" s="2">
        <v>8</v>
      </c>
      <c r="B15" s="10" t="s">
        <v>32</v>
      </c>
      <c r="C15" s="10" t="s">
        <v>22</v>
      </c>
      <c r="D15" s="2">
        <v>16</v>
      </c>
      <c r="E15" s="2">
        <v>10.5</v>
      </c>
      <c r="F15" s="2">
        <v>13.5</v>
      </c>
      <c r="G15" s="2">
        <v>2</v>
      </c>
      <c r="H15" s="3">
        <f t="shared" si="0"/>
        <v>13.416666666666666</v>
      </c>
      <c r="I15" s="4"/>
    </row>
    <row r="16" spans="1:9" ht="27" x14ac:dyDescent="0.85">
      <c r="A16" s="2">
        <v>9</v>
      </c>
      <c r="B16" s="10" t="s">
        <v>33</v>
      </c>
      <c r="C16" s="10" t="s">
        <v>22</v>
      </c>
      <c r="D16" s="2">
        <v>15</v>
      </c>
      <c r="E16" s="2">
        <v>16.5</v>
      </c>
      <c r="F16" s="2">
        <v>10</v>
      </c>
      <c r="G16" s="2">
        <v>2</v>
      </c>
      <c r="H16" s="3">
        <f t="shared" si="0"/>
        <v>11.916666666666666</v>
      </c>
      <c r="I16" s="4"/>
    </row>
    <row r="17" spans="1:9" ht="27" x14ac:dyDescent="0.85">
      <c r="A17" s="2">
        <v>10</v>
      </c>
      <c r="B17" s="10" t="s">
        <v>34</v>
      </c>
      <c r="C17" s="10" t="s">
        <v>22</v>
      </c>
      <c r="D17" s="2">
        <v>18</v>
      </c>
      <c r="E17" s="2">
        <v>16.5</v>
      </c>
      <c r="F17" s="2">
        <v>16.5</v>
      </c>
      <c r="G17" s="2">
        <v>2</v>
      </c>
      <c r="H17" s="3">
        <f t="shared" si="0"/>
        <v>16.75</v>
      </c>
      <c r="I17" s="4"/>
    </row>
    <row r="18" spans="1:9" ht="27" x14ac:dyDescent="0.85">
      <c r="A18" s="2">
        <v>11</v>
      </c>
      <c r="B18" s="10" t="s">
        <v>35</v>
      </c>
      <c r="C18" s="10" t="s">
        <v>22</v>
      </c>
      <c r="D18" s="2">
        <v>16</v>
      </c>
      <c r="E18" s="2">
        <v>5.5</v>
      </c>
      <c r="F18" s="2">
        <v>10</v>
      </c>
      <c r="G18" s="2">
        <v>2</v>
      </c>
      <c r="H18" s="3">
        <f t="shared" si="0"/>
        <v>10.25</v>
      </c>
      <c r="I18" s="4"/>
    </row>
    <row r="19" spans="1:9" ht="27" x14ac:dyDescent="0.85">
      <c r="A19" s="2">
        <v>12</v>
      </c>
      <c r="B19" s="10" t="s">
        <v>36</v>
      </c>
      <c r="C19" s="10" t="s">
        <v>22</v>
      </c>
      <c r="D19" s="2">
        <v>14</v>
      </c>
      <c r="E19" s="2">
        <v>13.5</v>
      </c>
      <c r="F19" s="2">
        <v>10</v>
      </c>
      <c r="G19" s="2">
        <v>2</v>
      </c>
      <c r="H19" s="3">
        <f t="shared" si="0"/>
        <v>11.25</v>
      </c>
      <c r="I19" s="4"/>
    </row>
    <row r="20" spans="1:9" ht="27" x14ac:dyDescent="0.85">
      <c r="A20" s="2">
        <v>13</v>
      </c>
      <c r="B20" s="10" t="s">
        <v>37</v>
      </c>
      <c r="C20" s="10" t="s">
        <v>22</v>
      </c>
      <c r="D20" s="2">
        <v>15</v>
      </c>
      <c r="E20" s="2">
        <v>5.5</v>
      </c>
      <c r="F20" s="2">
        <v>9.5</v>
      </c>
      <c r="G20" s="2">
        <v>2</v>
      </c>
      <c r="H20" s="3">
        <f t="shared" si="0"/>
        <v>9.75</v>
      </c>
      <c r="I20" s="4"/>
    </row>
    <row r="21" spans="1:9" ht="27" x14ac:dyDescent="0.85">
      <c r="A21" s="2">
        <v>14</v>
      </c>
      <c r="B21" s="10" t="s">
        <v>38</v>
      </c>
      <c r="C21" s="10" t="s">
        <v>22</v>
      </c>
      <c r="D21" s="2">
        <v>12</v>
      </c>
      <c r="E21" s="2">
        <v>4.5</v>
      </c>
      <c r="F21" s="2">
        <v>3.5</v>
      </c>
      <c r="G21" s="2">
        <v>2</v>
      </c>
      <c r="H21" s="3">
        <f t="shared" si="0"/>
        <v>5.083333333333333</v>
      </c>
      <c r="I21" s="4"/>
    </row>
    <row r="22" spans="1:9" ht="27" x14ac:dyDescent="0.85">
      <c r="A22" s="2">
        <v>15</v>
      </c>
      <c r="B22" s="10" t="s">
        <v>39</v>
      </c>
      <c r="C22" s="10" t="s">
        <v>22</v>
      </c>
      <c r="D22" s="2">
        <v>16</v>
      </c>
      <c r="E22" s="2">
        <v>15</v>
      </c>
      <c r="F22" s="2">
        <v>14.5</v>
      </c>
      <c r="G22" s="2">
        <v>2</v>
      </c>
      <c r="H22" s="3">
        <f t="shared" si="0"/>
        <v>14.833333333333334</v>
      </c>
      <c r="I22" s="4"/>
    </row>
    <row r="23" spans="1:9" ht="27" x14ac:dyDescent="0.85">
      <c r="A23" s="2">
        <v>16</v>
      </c>
      <c r="B23" s="10" t="s">
        <v>40</v>
      </c>
      <c r="C23" s="10" t="s">
        <v>22</v>
      </c>
      <c r="D23" s="2">
        <v>15</v>
      </c>
      <c r="E23" s="2">
        <v>12</v>
      </c>
      <c r="F23" s="2">
        <v>6.5</v>
      </c>
      <c r="G23" s="2">
        <v>2</v>
      </c>
      <c r="H23" s="3">
        <f t="shared" si="0"/>
        <v>8.8333333333333339</v>
      </c>
      <c r="I23" s="4"/>
    </row>
    <row r="24" spans="1:9" ht="27" x14ac:dyDescent="0.85">
      <c r="A24" s="2">
        <v>17</v>
      </c>
      <c r="B24" s="10" t="s">
        <v>41</v>
      </c>
      <c r="C24" s="10" t="s">
        <v>22</v>
      </c>
      <c r="D24" s="2">
        <v>16</v>
      </c>
      <c r="E24" s="2">
        <v>15.5</v>
      </c>
      <c r="F24" s="2">
        <v>12.5</v>
      </c>
      <c r="G24" s="2">
        <v>2</v>
      </c>
      <c r="H24" s="3">
        <f t="shared" si="0"/>
        <v>13.583333333333334</v>
      </c>
      <c r="I24" s="4"/>
    </row>
    <row r="25" spans="1:9" ht="27" x14ac:dyDescent="0.85">
      <c r="A25" s="2">
        <v>18</v>
      </c>
      <c r="B25" s="10" t="s">
        <v>42</v>
      </c>
      <c r="C25" s="10" t="s">
        <v>22</v>
      </c>
      <c r="D25" s="2">
        <v>16</v>
      </c>
      <c r="E25" s="2">
        <v>8</v>
      </c>
      <c r="F25" s="2">
        <v>13.5</v>
      </c>
      <c r="G25" s="2">
        <v>2</v>
      </c>
      <c r="H25" s="3">
        <f t="shared" si="0"/>
        <v>13</v>
      </c>
      <c r="I25" s="4"/>
    </row>
    <row r="26" spans="1:9" ht="27" x14ac:dyDescent="0.85">
      <c r="A26" s="2">
        <v>19</v>
      </c>
      <c r="B26" s="10" t="s">
        <v>43</v>
      </c>
      <c r="C26" s="10" t="s">
        <v>22</v>
      </c>
      <c r="D26" s="2">
        <v>11</v>
      </c>
      <c r="E26" s="2">
        <v>7</v>
      </c>
      <c r="F26" s="2">
        <v>3.5</v>
      </c>
      <c r="G26" s="2">
        <v>2</v>
      </c>
      <c r="H26" s="3">
        <f t="shared" si="0"/>
        <v>5.333333333333333</v>
      </c>
      <c r="I26" s="4"/>
    </row>
    <row r="27" spans="1:9" ht="27" x14ac:dyDescent="0.85">
      <c r="A27" s="2">
        <v>20</v>
      </c>
      <c r="B27" s="10" t="s">
        <v>44</v>
      </c>
      <c r="C27" s="10" t="s">
        <v>22</v>
      </c>
      <c r="D27" s="2">
        <v>13</v>
      </c>
      <c r="E27" s="2">
        <v>6</v>
      </c>
      <c r="F27" s="2">
        <v>4</v>
      </c>
      <c r="G27" s="2">
        <v>2</v>
      </c>
      <c r="H27" s="3">
        <f t="shared" si="0"/>
        <v>5.833333333333333</v>
      </c>
      <c r="I27" s="4"/>
    </row>
    <row r="28" spans="1:9" ht="27" x14ac:dyDescent="0.85">
      <c r="A28" s="2">
        <v>21</v>
      </c>
      <c r="B28" s="10" t="s">
        <v>45</v>
      </c>
      <c r="C28" s="10" t="s">
        <v>22</v>
      </c>
      <c r="D28" s="2">
        <v>18</v>
      </c>
      <c r="E28" s="2">
        <v>18.5</v>
      </c>
      <c r="F28" s="2">
        <v>17.5</v>
      </c>
      <c r="G28" s="2">
        <v>2</v>
      </c>
      <c r="H28" s="3">
        <f t="shared" si="0"/>
        <v>17.75</v>
      </c>
      <c r="I28" s="4"/>
    </row>
    <row r="29" spans="1:9" ht="27" x14ac:dyDescent="0.85">
      <c r="A29" s="2">
        <v>22</v>
      </c>
      <c r="B29" s="10" t="s">
        <v>46</v>
      </c>
      <c r="C29" s="10" t="s">
        <v>22</v>
      </c>
      <c r="D29" s="2">
        <v>15</v>
      </c>
      <c r="E29" s="2">
        <v>14</v>
      </c>
      <c r="F29" s="2">
        <v>15.5</v>
      </c>
      <c r="G29" s="2">
        <v>2</v>
      </c>
      <c r="H29" s="3">
        <f t="shared" si="0"/>
        <v>15.166666666666666</v>
      </c>
      <c r="I29" s="4"/>
    </row>
    <row r="30" spans="1:9" ht="27" x14ac:dyDescent="0.85">
      <c r="A30" s="2">
        <v>23</v>
      </c>
      <c r="B30" s="10" t="s">
        <v>47</v>
      </c>
      <c r="C30" s="10" t="s">
        <v>22</v>
      </c>
      <c r="D30" s="2">
        <v>15</v>
      </c>
      <c r="E30" s="2">
        <v>7.5</v>
      </c>
      <c r="F30" s="2">
        <v>8</v>
      </c>
      <c r="G30" s="2">
        <v>2</v>
      </c>
      <c r="H30" s="3">
        <f t="shared" si="0"/>
        <v>9.0833333333333339</v>
      </c>
      <c r="I30" s="4"/>
    </row>
    <row r="31" spans="1:9" ht="27" x14ac:dyDescent="0.85">
      <c r="A31" s="2">
        <v>24</v>
      </c>
      <c r="B31" s="10" t="s">
        <v>48</v>
      </c>
      <c r="C31" s="10" t="s">
        <v>22</v>
      </c>
      <c r="D31" s="2">
        <v>18</v>
      </c>
      <c r="E31" s="2">
        <v>18</v>
      </c>
      <c r="F31" s="2">
        <v>18</v>
      </c>
      <c r="G31" s="2">
        <v>2</v>
      </c>
      <c r="H31" s="3">
        <f t="shared" si="0"/>
        <v>18</v>
      </c>
      <c r="I31" s="4"/>
    </row>
    <row r="32" spans="1:9" ht="27" x14ac:dyDescent="0.85">
      <c r="A32" s="2">
        <v>25</v>
      </c>
      <c r="B32" s="10" t="s">
        <v>49</v>
      </c>
      <c r="C32" s="10" t="s">
        <v>22</v>
      </c>
      <c r="D32" s="2">
        <v>12</v>
      </c>
      <c r="E32" s="2">
        <v>5</v>
      </c>
      <c r="F32" s="2">
        <v>3</v>
      </c>
      <c r="G32" s="2">
        <v>2</v>
      </c>
      <c r="H32" s="3">
        <f t="shared" si="0"/>
        <v>4.833333333333333</v>
      </c>
      <c r="I32" s="4"/>
    </row>
    <row r="33" spans="1:9" ht="27" x14ac:dyDescent="0.85">
      <c r="A33" s="2">
        <v>26</v>
      </c>
      <c r="B33" s="10" t="s">
        <v>50</v>
      </c>
      <c r="C33" s="10" t="s">
        <v>22</v>
      </c>
      <c r="D33" s="2">
        <v>16</v>
      </c>
      <c r="E33" s="2">
        <v>15.5</v>
      </c>
      <c r="F33" s="2">
        <v>10</v>
      </c>
      <c r="G33" s="2">
        <v>2</v>
      </c>
      <c r="H33" s="3">
        <f t="shared" si="0"/>
        <v>11.916666666666666</v>
      </c>
      <c r="I33" s="4"/>
    </row>
    <row r="34" spans="1:9" ht="27" x14ac:dyDescent="0.85">
      <c r="A34" s="2">
        <v>27</v>
      </c>
      <c r="B34" s="10" t="s">
        <v>51</v>
      </c>
      <c r="C34" s="10" t="s">
        <v>22</v>
      </c>
      <c r="D34" s="2">
        <v>15</v>
      </c>
      <c r="E34" s="2">
        <v>14.5</v>
      </c>
      <c r="F34" s="2">
        <v>14</v>
      </c>
      <c r="G34" s="2">
        <v>2</v>
      </c>
      <c r="H34" s="3">
        <f t="shared" si="0"/>
        <v>14.25</v>
      </c>
      <c r="I34" s="4"/>
    </row>
    <row r="35" spans="1:9" ht="27" x14ac:dyDescent="0.85">
      <c r="A35" s="2">
        <v>28</v>
      </c>
      <c r="B35" s="10" t="s">
        <v>52</v>
      </c>
      <c r="C35" s="10" t="s">
        <v>22</v>
      </c>
      <c r="D35" s="2">
        <v>14</v>
      </c>
      <c r="E35" s="2">
        <v>13</v>
      </c>
      <c r="F35" s="2">
        <v>10.5</v>
      </c>
      <c r="G35" s="2">
        <v>2</v>
      </c>
      <c r="H35" s="3">
        <f t="shared" si="0"/>
        <v>11.5</v>
      </c>
      <c r="I35" s="4"/>
    </row>
    <row r="36" spans="1:9" ht="27" x14ac:dyDescent="0.85">
      <c r="A36" s="2">
        <v>29</v>
      </c>
      <c r="B36" s="10" t="s">
        <v>53</v>
      </c>
      <c r="C36" s="10" t="s">
        <v>22</v>
      </c>
      <c r="D36" s="2">
        <v>15</v>
      </c>
      <c r="E36" s="2">
        <v>10</v>
      </c>
      <c r="F36" s="2">
        <v>10</v>
      </c>
      <c r="G36" s="2">
        <v>2</v>
      </c>
      <c r="H36" s="3">
        <f t="shared" si="0"/>
        <v>10.833333333333334</v>
      </c>
      <c r="I36" s="4"/>
    </row>
    <row r="37" spans="1:9" ht="27" x14ac:dyDescent="0.85">
      <c r="A37" s="2">
        <v>30</v>
      </c>
      <c r="B37" s="10" t="s">
        <v>54</v>
      </c>
      <c r="C37" s="10" t="s">
        <v>22</v>
      </c>
      <c r="D37" s="2">
        <v>13</v>
      </c>
      <c r="E37" s="2">
        <v>11.5</v>
      </c>
      <c r="F37" s="2">
        <v>12.5</v>
      </c>
      <c r="G37" s="2">
        <v>2</v>
      </c>
      <c r="H37" s="3">
        <f t="shared" si="0"/>
        <v>12.416666666666666</v>
      </c>
      <c r="I37" s="4"/>
    </row>
    <row r="38" spans="1:9" ht="27" x14ac:dyDescent="0.85">
      <c r="A38" s="2">
        <v>31</v>
      </c>
      <c r="B38" s="10" t="s">
        <v>55</v>
      </c>
      <c r="C38" s="10" t="s">
        <v>22</v>
      </c>
      <c r="D38" s="2">
        <v>18</v>
      </c>
      <c r="E38" s="2">
        <v>17.5</v>
      </c>
      <c r="F38" s="2">
        <v>17</v>
      </c>
      <c r="G38" s="2">
        <v>2</v>
      </c>
      <c r="H38" s="3">
        <f t="shared" si="0"/>
        <v>17.25</v>
      </c>
      <c r="I38" s="4"/>
    </row>
    <row r="39" spans="1:9" ht="27" x14ac:dyDescent="0.85">
      <c r="A39" s="2">
        <v>32</v>
      </c>
      <c r="B39" s="10" t="s">
        <v>56</v>
      </c>
      <c r="C39" s="10" t="s">
        <v>22</v>
      </c>
      <c r="D39" s="2">
        <v>18</v>
      </c>
      <c r="E39" s="2">
        <v>18.5</v>
      </c>
      <c r="F39" s="2">
        <v>17.5</v>
      </c>
      <c r="G39" s="2">
        <v>2</v>
      </c>
      <c r="H39" s="3">
        <f t="shared" si="0"/>
        <v>17.75</v>
      </c>
      <c r="I39" s="4"/>
    </row>
    <row r="40" spans="1:9" ht="27" x14ac:dyDescent="0.85">
      <c r="A40" s="2">
        <v>33</v>
      </c>
      <c r="B40" s="10" t="s">
        <v>57</v>
      </c>
      <c r="C40" s="10" t="s">
        <v>22</v>
      </c>
      <c r="D40" s="2">
        <v>18</v>
      </c>
      <c r="E40" s="2">
        <v>18</v>
      </c>
      <c r="F40" s="2">
        <v>18</v>
      </c>
      <c r="G40" s="2">
        <v>2</v>
      </c>
      <c r="H40" s="3">
        <f t="shared" si="0"/>
        <v>18</v>
      </c>
      <c r="I40" s="4"/>
    </row>
    <row r="41" spans="1:9" ht="27" x14ac:dyDescent="0.85">
      <c r="A41" s="2">
        <v>34</v>
      </c>
      <c r="B41" s="10" t="s">
        <v>58</v>
      </c>
      <c r="C41" s="10" t="s">
        <v>22</v>
      </c>
      <c r="D41" s="2">
        <v>18</v>
      </c>
      <c r="E41" s="2">
        <v>19</v>
      </c>
      <c r="F41" s="2">
        <v>19</v>
      </c>
      <c r="G41" s="2">
        <v>2</v>
      </c>
      <c r="H41" s="3">
        <f t="shared" si="0"/>
        <v>18.833333333333332</v>
      </c>
      <c r="I41" s="4"/>
    </row>
    <row r="42" spans="1:9" ht="27" x14ac:dyDescent="0.85">
      <c r="A42" s="2">
        <v>35</v>
      </c>
      <c r="B42" s="10" t="s">
        <v>59</v>
      </c>
      <c r="C42" s="10" t="s">
        <v>22</v>
      </c>
      <c r="D42" s="2">
        <v>17</v>
      </c>
      <c r="E42" s="2">
        <v>15.5</v>
      </c>
      <c r="F42" s="2">
        <v>7.5</v>
      </c>
      <c r="G42" s="2">
        <v>2</v>
      </c>
      <c r="H42" s="3">
        <f t="shared" si="0"/>
        <v>10.416666666666666</v>
      </c>
      <c r="I42" s="4"/>
    </row>
    <row r="43" spans="1:9" ht="27" x14ac:dyDescent="0.85">
      <c r="A43" s="2">
        <v>36</v>
      </c>
      <c r="B43" s="10" t="s">
        <v>60</v>
      </c>
      <c r="C43" s="10" t="s">
        <v>22</v>
      </c>
      <c r="D43" s="2">
        <v>16</v>
      </c>
      <c r="E43" s="2">
        <v>15</v>
      </c>
      <c r="F43" s="2">
        <v>15.5</v>
      </c>
      <c r="G43" s="2">
        <v>2</v>
      </c>
      <c r="H43" s="3">
        <f t="shared" si="0"/>
        <v>15.5</v>
      </c>
      <c r="I43" s="4"/>
    </row>
    <row r="44" spans="1:9" ht="27" x14ac:dyDescent="0.85">
      <c r="A44" s="2">
        <v>37</v>
      </c>
      <c r="B44" s="10" t="s">
        <v>61</v>
      </c>
      <c r="C44" s="10" t="s">
        <v>22</v>
      </c>
      <c r="D44" s="2">
        <v>14</v>
      </c>
      <c r="E44" s="2">
        <v>5.5</v>
      </c>
      <c r="F44" s="2">
        <v>4</v>
      </c>
      <c r="G44" s="2">
        <v>2</v>
      </c>
      <c r="H44" s="3">
        <f t="shared" si="0"/>
        <v>5.916666666666667</v>
      </c>
      <c r="I44" s="4"/>
    </row>
    <row r="45" spans="1:9" ht="27" x14ac:dyDescent="0.85">
      <c r="A45" s="2">
        <v>38</v>
      </c>
      <c r="B45" s="10" t="s">
        <v>62</v>
      </c>
      <c r="C45" s="10" t="s">
        <v>22</v>
      </c>
      <c r="D45" s="2">
        <v>15</v>
      </c>
      <c r="E45" s="2">
        <v>6</v>
      </c>
      <c r="F45" s="2">
        <v>12.5</v>
      </c>
      <c r="G45" s="2">
        <v>2</v>
      </c>
      <c r="H45" s="3">
        <f t="shared" si="0"/>
        <v>11.833333333333334</v>
      </c>
      <c r="I45" s="4"/>
    </row>
    <row r="46" spans="1:9" ht="27" x14ac:dyDescent="0.85">
      <c r="A46" s="2">
        <v>39</v>
      </c>
      <c r="B46" s="10"/>
      <c r="C46" s="10"/>
      <c r="D46" s="2"/>
      <c r="E46" s="2"/>
      <c r="F46" s="2"/>
      <c r="G46" s="2">
        <v>2</v>
      </c>
      <c r="H46" s="3" t="str">
        <f t="shared" si="0"/>
        <v xml:space="preserve"> </v>
      </c>
      <c r="I46" s="4"/>
    </row>
    <row r="47" spans="1:9" ht="27" x14ac:dyDescent="0.85">
      <c r="A47" s="2">
        <v>40</v>
      </c>
      <c r="B47" s="10"/>
      <c r="C47" s="10"/>
      <c r="D47" s="2"/>
      <c r="E47" s="2"/>
      <c r="F47" s="2"/>
      <c r="G47" s="2">
        <v>2</v>
      </c>
      <c r="H47" s="3" t="str">
        <f t="shared" si="0"/>
        <v xml:space="preserve"> </v>
      </c>
      <c r="I47" s="4"/>
    </row>
    <row r="48" spans="1:9" ht="27" x14ac:dyDescent="0.85">
      <c r="A48" s="2">
        <v>41</v>
      </c>
      <c r="B48" s="10"/>
      <c r="C48" s="10"/>
      <c r="D48" s="2"/>
      <c r="E48" s="2"/>
      <c r="F48" s="2"/>
      <c r="G48" s="2">
        <v>2</v>
      </c>
      <c r="H48" s="3" t="str">
        <f t="shared" si="0"/>
        <v xml:space="preserve"> </v>
      </c>
      <c r="I48" s="4"/>
    </row>
    <row r="49" spans="1:9" ht="27" x14ac:dyDescent="0.85">
      <c r="A49" s="2">
        <v>42</v>
      </c>
      <c r="B49" s="10"/>
      <c r="C49" s="10"/>
      <c r="D49" s="2"/>
      <c r="E49" s="2"/>
      <c r="F49" s="2"/>
      <c r="G49" s="2">
        <v>2</v>
      </c>
      <c r="H49" s="3" t="str">
        <f t="shared" si="0"/>
        <v xml:space="preserve"> </v>
      </c>
      <c r="I49" s="4"/>
    </row>
    <row r="50" spans="1:9" ht="27" x14ac:dyDescent="0.85">
      <c r="A50" s="2">
        <v>43</v>
      </c>
      <c r="B50" s="10"/>
      <c r="C50" s="10"/>
      <c r="D50" s="2"/>
      <c r="E50" s="2"/>
      <c r="F50" s="2"/>
      <c r="G50" s="2">
        <v>2</v>
      </c>
      <c r="H50" s="3" t="str">
        <f t="shared" si="0"/>
        <v xml:space="preserve"> </v>
      </c>
      <c r="I50" s="4"/>
    </row>
    <row r="51" spans="1:9" ht="27" x14ac:dyDescent="0.85">
      <c r="A51" s="2">
        <v>44</v>
      </c>
      <c r="B51" s="10"/>
      <c r="C51" s="10"/>
      <c r="D51" s="2"/>
      <c r="E51" s="2"/>
      <c r="F51" s="2"/>
      <c r="G51" s="2">
        <v>2</v>
      </c>
      <c r="H51" s="3" t="str">
        <f t="shared" si="0"/>
        <v xml:space="preserve"> </v>
      </c>
      <c r="I51" s="4"/>
    </row>
    <row r="52" spans="1:9" ht="27" x14ac:dyDescent="0.85">
      <c r="A52" s="2">
        <v>45</v>
      </c>
      <c r="B52" s="10"/>
      <c r="C52" s="10"/>
      <c r="D52" s="2"/>
      <c r="E52" s="2"/>
      <c r="F52" s="2"/>
      <c r="G52" s="2">
        <v>2</v>
      </c>
      <c r="H52" s="3" t="str">
        <f t="shared" si="0"/>
        <v xml:space="preserve"> </v>
      </c>
      <c r="I52" s="4"/>
    </row>
    <row r="53" spans="1:9" ht="27" x14ac:dyDescent="0.85">
      <c r="A53" s="2">
        <v>46</v>
      </c>
      <c r="B53" s="10"/>
      <c r="C53" s="10"/>
      <c r="D53" s="2"/>
      <c r="E53" s="2"/>
      <c r="F53" s="2"/>
      <c r="G53" s="2">
        <v>2</v>
      </c>
      <c r="H53" s="3" t="str">
        <f t="shared" si="0"/>
        <v xml:space="preserve"> </v>
      </c>
      <c r="I53" s="4"/>
    </row>
    <row r="54" spans="1:9" ht="27" x14ac:dyDescent="0.85">
      <c r="A54" s="2">
        <v>47</v>
      </c>
      <c r="B54" s="10"/>
      <c r="C54" s="10"/>
      <c r="D54" s="2"/>
      <c r="E54" s="2"/>
      <c r="F54" s="2"/>
      <c r="G54" s="2">
        <v>2</v>
      </c>
      <c r="H54" s="3" t="str">
        <f t="shared" si="0"/>
        <v xml:space="preserve"> </v>
      </c>
      <c r="I54" s="4"/>
    </row>
    <row r="55" spans="1:9" ht="27" x14ac:dyDescent="0.85">
      <c r="A55" s="2">
        <v>48</v>
      </c>
      <c r="B55" s="10"/>
      <c r="C55" s="10"/>
      <c r="D55" s="2"/>
      <c r="E55" s="2"/>
      <c r="F55" s="2"/>
      <c r="G55" s="2">
        <v>2</v>
      </c>
      <c r="H55" s="3" t="str">
        <f t="shared" si="0"/>
        <v xml:space="preserve"> </v>
      </c>
      <c r="I55" s="4"/>
    </row>
    <row r="56" spans="1:9" ht="27" x14ac:dyDescent="0.85">
      <c r="A56" s="2">
        <v>49</v>
      </c>
      <c r="B56" s="10"/>
      <c r="C56" s="10"/>
      <c r="D56" s="2"/>
      <c r="E56" s="2"/>
      <c r="F56" s="2"/>
      <c r="G56" s="2">
        <v>2</v>
      </c>
      <c r="H56" s="3" t="str">
        <f t="shared" si="0"/>
        <v xml:space="preserve"> </v>
      </c>
      <c r="I56" s="4"/>
    </row>
    <row r="57" spans="1:9" ht="27" x14ac:dyDescent="0.85">
      <c r="A57" s="2">
        <v>50</v>
      </c>
      <c r="B57" s="10"/>
      <c r="C57" s="10"/>
      <c r="D57" s="2"/>
      <c r="E57" s="2"/>
      <c r="F57" s="2"/>
      <c r="G57" s="2">
        <v>2</v>
      </c>
      <c r="H57" s="3" t="str">
        <f t="shared" si="0"/>
        <v xml:space="preserve"> </v>
      </c>
      <c r="I57" s="4"/>
    </row>
    <row r="58" spans="1:9" ht="27" x14ac:dyDescent="0.85">
      <c r="A58" s="2">
        <v>51</v>
      </c>
      <c r="B58" s="10"/>
      <c r="C58" s="10"/>
      <c r="D58" s="2"/>
      <c r="E58" s="2"/>
      <c r="F58" s="2"/>
      <c r="G58" s="2">
        <v>2</v>
      </c>
      <c r="H58" s="3" t="str">
        <f t="shared" si="0"/>
        <v xml:space="preserve"> </v>
      </c>
      <c r="I58" s="4"/>
    </row>
    <row r="59" spans="1:9" ht="27" x14ac:dyDescent="0.85">
      <c r="A59" s="2">
        <v>52</v>
      </c>
      <c r="B59" s="10"/>
      <c r="C59" s="10"/>
      <c r="D59" s="2"/>
      <c r="E59" s="2"/>
      <c r="F59" s="2"/>
      <c r="G59" s="2">
        <v>2</v>
      </c>
      <c r="H59" s="3" t="str">
        <f t="shared" si="0"/>
        <v xml:space="preserve"> </v>
      </c>
      <c r="I59" s="4"/>
    </row>
    <row r="60" spans="1:9" ht="27" x14ac:dyDescent="0.85">
      <c r="A60" s="2">
        <v>53</v>
      </c>
      <c r="B60" s="10"/>
      <c r="C60" s="10"/>
      <c r="D60" s="2"/>
      <c r="E60" s="2"/>
      <c r="F60" s="2"/>
      <c r="G60" s="2">
        <v>2</v>
      </c>
      <c r="H60" s="3" t="str">
        <f t="shared" si="0"/>
        <v xml:space="preserve"> </v>
      </c>
      <c r="I60" s="4"/>
    </row>
    <row r="61" spans="1:9" ht="27" x14ac:dyDescent="0.85">
      <c r="A61" s="2">
        <v>54</v>
      </c>
      <c r="B61" s="10"/>
      <c r="C61" s="10"/>
      <c r="D61" s="2"/>
      <c r="E61" s="2"/>
      <c r="F61" s="2"/>
      <c r="G61" s="2">
        <v>2</v>
      </c>
      <c r="H61" s="3" t="str">
        <f t="shared" si="0"/>
        <v xml:space="preserve"> </v>
      </c>
      <c r="I61" s="4"/>
    </row>
    <row r="62" spans="1:9" ht="27" x14ac:dyDescent="0.85">
      <c r="A62" s="2">
        <v>55</v>
      </c>
      <c r="B62" s="10"/>
      <c r="C62" s="10"/>
      <c r="D62" s="2"/>
      <c r="E62" s="2"/>
      <c r="F62" s="2"/>
      <c r="G62" s="2">
        <v>2</v>
      </c>
      <c r="H62" s="3" t="str">
        <f t="shared" si="0"/>
        <v xml:space="preserve"> </v>
      </c>
      <c r="I62" s="4"/>
    </row>
    <row r="63" spans="1:9" ht="27" x14ac:dyDescent="0.85">
      <c r="A63" s="2">
        <v>56</v>
      </c>
      <c r="B63" s="10"/>
      <c r="C63" s="10"/>
      <c r="D63" s="2"/>
      <c r="E63" s="2"/>
      <c r="F63" s="2"/>
      <c r="G63" s="2">
        <v>2</v>
      </c>
      <c r="H63" s="3" t="str">
        <f t="shared" si="0"/>
        <v xml:space="preserve"> </v>
      </c>
      <c r="I63" s="4"/>
    </row>
    <row r="64" spans="1:9" ht="27" x14ac:dyDescent="0.85">
      <c r="A64" s="2">
        <v>57</v>
      </c>
      <c r="B64" s="10"/>
      <c r="C64" s="10"/>
      <c r="D64" s="2"/>
      <c r="E64" s="2"/>
      <c r="F64" s="2"/>
      <c r="G64" s="2">
        <v>2</v>
      </c>
      <c r="H64" s="3" t="str">
        <f t="shared" si="0"/>
        <v xml:space="preserve"> </v>
      </c>
      <c r="I64" s="4"/>
    </row>
    <row r="65" spans="1:9" ht="27" x14ac:dyDescent="0.85">
      <c r="A65" s="2">
        <v>58</v>
      </c>
      <c r="B65" s="10"/>
      <c r="C65" s="10"/>
      <c r="D65" s="2"/>
      <c r="E65" s="2"/>
      <c r="F65" s="2"/>
      <c r="G65" s="2">
        <v>2</v>
      </c>
      <c r="H65" s="3" t="str">
        <f t="shared" si="0"/>
        <v xml:space="preserve"> </v>
      </c>
      <c r="I65" s="4"/>
    </row>
    <row r="66" spans="1:9" ht="27" x14ac:dyDescent="0.85">
      <c r="A66" s="2">
        <v>59</v>
      </c>
      <c r="B66" s="10"/>
      <c r="C66" s="10"/>
      <c r="D66" s="2"/>
      <c r="E66" s="2"/>
      <c r="F66" s="2"/>
      <c r="G66" s="2">
        <v>2</v>
      </c>
      <c r="H66" s="3" t="str">
        <f t="shared" si="0"/>
        <v xml:space="preserve"> </v>
      </c>
      <c r="I66" s="4"/>
    </row>
    <row r="68" spans="1:9" ht="27" x14ac:dyDescent="0.3">
      <c r="B68" s="21" t="s">
        <v>7</v>
      </c>
      <c r="C68" s="22"/>
      <c r="D68" s="5">
        <f>COUNTA(B8:B66)</f>
        <v>38</v>
      </c>
      <c r="E68" s="5"/>
      <c r="G68" s="7"/>
      <c r="H68" s="8"/>
    </row>
    <row r="69" spans="1:9" ht="27" x14ac:dyDescent="0.3">
      <c r="B69" s="21" t="s">
        <v>8</v>
      </c>
      <c r="C69" s="22"/>
      <c r="D69" s="5">
        <f>COUNTIF(H8:H66,"&gt;=10")</f>
        <v>27</v>
      </c>
      <c r="E69" s="6">
        <f>D69/D68</f>
        <v>0.71052631578947367</v>
      </c>
    </row>
    <row r="70" spans="1:9" ht="27" x14ac:dyDescent="0.3">
      <c r="B70" s="21" t="s">
        <v>9</v>
      </c>
      <c r="C70" s="22"/>
      <c r="D70" s="5">
        <f>COUNTIF(H8:H66,"&lt;10")</f>
        <v>11</v>
      </c>
      <c r="E70" s="6">
        <f>D70/D68</f>
        <v>0.28947368421052633</v>
      </c>
    </row>
    <row r="71" spans="1:9" ht="27" x14ac:dyDescent="0.3">
      <c r="B71" s="21" t="s">
        <v>5</v>
      </c>
      <c r="C71" s="22"/>
      <c r="D71" s="23">
        <f>AVERAGE(H8:H66)</f>
        <v>12.234649122807019</v>
      </c>
      <c r="E71" s="24"/>
    </row>
  </sheetData>
  <mergeCells count="7">
    <mergeCell ref="B71:C71"/>
    <mergeCell ref="D71:E71"/>
    <mergeCell ref="A1:I1"/>
    <mergeCell ref="C2:G4"/>
    <mergeCell ref="B68:C68"/>
    <mergeCell ref="B69:C69"/>
    <mergeCell ref="B70:C70"/>
  </mergeCells>
  <phoneticPr fontId="11" type="noConversion"/>
  <conditionalFormatting sqref="H8:H66">
    <cfRule type="cellIs" dxfId="6" priority="1" operator="greaterThan">
      <formula>9.99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28B9C-7862-43E8-8B73-A956AA984F06}">
  <dimension ref="A1:I71"/>
  <sheetViews>
    <sheetView rightToLeft="1" zoomScale="85" zoomScaleNormal="85" workbookViewId="0">
      <selection activeCell="B5" sqref="B5"/>
    </sheetView>
  </sheetViews>
  <sheetFormatPr defaultRowHeight="14.4" x14ac:dyDescent="0.3"/>
  <cols>
    <col min="1" max="1" width="4.6640625" customWidth="1"/>
    <col min="2" max="3" width="16.21875" customWidth="1"/>
    <col min="4" max="4" width="9" bestFit="1" customWidth="1"/>
    <col min="5" max="5" width="11.33203125" bestFit="1" customWidth="1"/>
    <col min="8" max="8" width="12.88671875" style="1" customWidth="1"/>
    <col min="9" max="9" width="16.21875" customWidth="1"/>
  </cols>
  <sheetData>
    <row r="1" spans="1:9" ht="27" x14ac:dyDescent="0.85">
      <c r="A1" s="25" t="s">
        <v>71</v>
      </c>
      <c r="B1" s="25"/>
      <c r="C1" s="25"/>
      <c r="D1" s="25"/>
      <c r="E1" s="25"/>
      <c r="F1" s="25"/>
      <c r="G1" s="25"/>
      <c r="H1" s="25"/>
      <c r="I1" s="25"/>
    </row>
    <row r="2" spans="1:9" ht="21.6" customHeight="1" x14ac:dyDescent="0.3">
      <c r="C2" s="26" t="s">
        <v>12</v>
      </c>
      <c r="D2" s="26"/>
      <c r="E2" s="26"/>
      <c r="F2" s="26"/>
      <c r="G2" s="26"/>
      <c r="I2" s="12" t="s">
        <v>20</v>
      </c>
    </row>
    <row r="3" spans="1:9" ht="14.4" customHeight="1" x14ac:dyDescent="0.3">
      <c r="C3" s="26"/>
      <c r="D3" s="26"/>
      <c r="E3" s="26"/>
      <c r="F3" s="26"/>
      <c r="G3" s="26"/>
      <c r="I3" s="14"/>
    </row>
    <row r="4" spans="1:9" x14ac:dyDescent="0.3">
      <c r="C4" s="26"/>
      <c r="D4" s="26"/>
      <c r="E4" s="26"/>
      <c r="F4" s="26"/>
      <c r="G4" s="26"/>
    </row>
    <row r="5" spans="1:9" ht="15.6" x14ac:dyDescent="0.3">
      <c r="B5" s="11" t="s">
        <v>74</v>
      </c>
    </row>
    <row r="6" spans="1:9" ht="15.6" x14ac:dyDescent="0.3">
      <c r="B6" s="11" t="s">
        <v>13</v>
      </c>
    </row>
    <row r="7" spans="1:9" s="1" customFormat="1" ht="27" x14ac:dyDescent="0.85">
      <c r="A7" s="9" t="s">
        <v>0</v>
      </c>
      <c r="B7" s="9" t="s">
        <v>10</v>
      </c>
      <c r="C7" s="9" t="s">
        <v>11</v>
      </c>
      <c r="D7" s="9" t="s">
        <v>1</v>
      </c>
      <c r="E7" s="9" t="s">
        <v>2</v>
      </c>
      <c r="F7" s="9" t="s">
        <v>3</v>
      </c>
      <c r="G7" s="9" t="s">
        <v>4</v>
      </c>
      <c r="H7" s="9" t="s">
        <v>5</v>
      </c>
      <c r="I7" s="9" t="s">
        <v>6</v>
      </c>
    </row>
    <row r="8" spans="1:9" ht="27" x14ac:dyDescent="0.85">
      <c r="A8" s="2">
        <v>1</v>
      </c>
      <c r="B8" s="10" t="s">
        <v>25</v>
      </c>
      <c r="C8" s="10" t="s">
        <v>22</v>
      </c>
      <c r="D8" s="2">
        <v>16</v>
      </c>
      <c r="E8" s="2">
        <v>14</v>
      </c>
      <c r="F8" s="2">
        <v>7</v>
      </c>
      <c r="G8" s="2">
        <v>2</v>
      </c>
      <c r="H8" s="3">
        <f>IF(ISBLANK(B8)," ",(D8+E8+F8*4)/6)</f>
        <v>9.6666666666666661</v>
      </c>
      <c r="I8" s="4"/>
    </row>
    <row r="9" spans="1:9" ht="27" x14ac:dyDescent="0.85">
      <c r="A9" s="2">
        <v>2</v>
      </c>
      <c r="B9" s="10" t="s">
        <v>26</v>
      </c>
      <c r="C9" s="10" t="s">
        <v>22</v>
      </c>
      <c r="D9" s="2">
        <v>18</v>
      </c>
      <c r="E9" s="2">
        <v>17.5</v>
      </c>
      <c r="F9" s="2">
        <v>17.5</v>
      </c>
      <c r="G9" s="2">
        <v>2</v>
      </c>
      <c r="H9" s="3">
        <f t="shared" ref="H9:H66" si="0">IF(ISBLANK(B9)," ",(D9+E9+F9*4)/6)</f>
        <v>17.583333333333332</v>
      </c>
      <c r="I9" s="4"/>
    </row>
    <row r="10" spans="1:9" ht="27" x14ac:dyDescent="0.85">
      <c r="A10" s="2">
        <v>3</v>
      </c>
      <c r="B10" s="10" t="s">
        <v>27</v>
      </c>
      <c r="C10" s="10" t="s">
        <v>22</v>
      </c>
      <c r="D10" s="2">
        <v>16</v>
      </c>
      <c r="E10" s="2">
        <v>13.5</v>
      </c>
      <c r="F10" s="2">
        <v>11</v>
      </c>
      <c r="G10" s="2">
        <v>2</v>
      </c>
      <c r="H10" s="3">
        <f t="shared" si="0"/>
        <v>12.25</v>
      </c>
      <c r="I10" s="4"/>
    </row>
    <row r="11" spans="1:9" ht="27" x14ac:dyDescent="0.85">
      <c r="A11" s="2">
        <v>4</v>
      </c>
      <c r="B11" s="10" t="s">
        <v>28</v>
      </c>
      <c r="C11" s="10" t="s">
        <v>22</v>
      </c>
      <c r="D11" s="2">
        <v>16</v>
      </c>
      <c r="E11" s="2">
        <v>11</v>
      </c>
      <c r="F11" s="2">
        <v>15.5</v>
      </c>
      <c r="G11" s="2">
        <v>2</v>
      </c>
      <c r="H11" s="3">
        <f t="shared" si="0"/>
        <v>14.833333333333334</v>
      </c>
      <c r="I11" s="4"/>
    </row>
    <row r="12" spans="1:9" ht="27" x14ac:dyDescent="0.85">
      <c r="A12" s="2">
        <v>5</v>
      </c>
      <c r="B12" s="10" t="s">
        <v>29</v>
      </c>
      <c r="C12" s="10" t="s">
        <v>22</v>
      </c>
      <c r="D12" s="2">
        <v>12</v>
      </c>
      <c r="E12" s="2">
        <v>6.5</v>
      </c>
      <c r="F12" s="2">
        <v>2.5</v>
      </c>
      <c r="G12" s="2">
        <v>2</v>
      </c>
      <c r="H12" s="3">
        <f t="shared" si="0"/>
        <v>4.75</v>
      </c>
      <c r="I12" s="4"/>
    </row>
    <row r="13" spans="1:9" ht="27" x14ac:dyDescent="0.85">
      <c r="A13" s="2">
        <v>6</v>
      </c>
      <c r="B13" s="10" t="s">
        <v>30</v>
      </c>
      <c r="C13" s="10" t="s">
        <v>22</v>
      </c>
      <c r="D13" s="2">
        <v>15</v>
      </c>
      <c r="E13" s="2">
        <v>10</v>
      </c>
      <c r="F13" s="2">
        <v>12</v>
      </c>
      <c r="G13" s="2">
        <v>2</v>
      </c>
      <c r="H13" s="3">
        <f t="shared" si="0"/>
        <v>12.166666666666666</v>
      </c>
      <c r="I13" s="4"/>
    </row>
    <row r="14" spans="1:9" ht="27" x14ac:dyDescent="0.85">
      <c r="A14" s="2">
        <v>7</v>
      </c>
      <c r="B14" s="10" t="s">
        <v>31</v>
      </c>
      <c r="C14" s="10" t="s">
        <v>22</v>
      </c>
      <c r="D14" s="2">
        <v>14</v>
      </c>
      <c r="E14" s="2">
        <v>14</v>
      </c>
      <c r="F14" s="2">
        <v>14.5</v>
      </c>
      <c r="G14" s="2">
        <v>2</v>
      </c>
      <c r="H14" s="3">
        <f t="shared" si="0"/>
        <v>14.333333333333334</v>
      </c>
      <c r="I14" s="4"/>
    </row>
    <row r="15" spans="1:9" ht="27" x14ac:dyDescent="0.85">
      <c r="A15" s="2">
        <v>8</v>
      </c>
      <c r="B15" s="10" t="s">
        <v>32</v>
      </c>
      <c r="C15" s="10" t="s">
        <v>22</v>
      </c>
      <c r="D15" s="2">
        <v>16</v>
      </c>
      <c r="E15" s="2">
        <v>10.5</v>
      </c>
      <c r="F15" s="2">
        <v>13</v>
      </c>
      <c r="G15" s="2">
        <v>2</v>
      </c>
      <c r="H15" s="3">
        <f t="shared" si="0"/>
        <v>13.083333333333334</v>
      </c>
      <c r="I15" s="4"/>
    </row>
    <row r="16" spans="1:9" ht="27" x14ac:dyDescent="0.85">
      <c r="A16" s="2">
        <v>9</v>
      </c>
      <c r="B16" s="10" t="s">
        <v>33</v>
      </c>
      <c r="C16" s="10" t="s">
        <v>22</v>
      </c>
      <c r="D16" s="2">
        <v>18</v>
      </c>
      <c r="E16" s="2">
        <v>12</v>
      </c>
      <c r="F16" s="2">
        <v>15.5</v>
      </c>
      <c r="G16" s="2">
        <v>2</v>
      </c>
      <c r="H16" s="3">
        <f t="shared" si="0"/>
        <v>15.333333333333334</v>
      </c>
      <c r="I16" s="4"/>
    </row>
    <row r="17" spans="1:9" ht="27" x14ac:dyDescent="0.85">
      <c r="A17" s="2">
        <v>10</v>
      </c>
      <c r="B17" s="10" t="s">
        <v>34</v>
      </c>
      <c r="C17" s="10" t="s">
        <v>22</v>
      </c>
      <c r="D17" s="2">
        <v>14</v>
      </c>
      <c r="E17" s="2">
        <v>10.5</v>
      </c>
      <c r="F17" s="2">
        <v>3</v>
      </c>
      <c r="G17" s="2">
        <v>2</v>
      </c>
      <c r="H17" s="3">
        <f t="shared" si="0"/>
        <v>6.083333333333333</v>
      </c>
      <c r="I17" s="4"/>
    </row>
    <row r="18" spans="1:9" ht="27" x14ac:dyDescent="0.85">
      <c r="A18" s="2">
        <v>11</v>
      </c>
      <c r="B18" s="10" t="s">
        <v>35</v>
      </c>
      <c r="C18" s="10" t="s">
        <v>22</v>
      </c>
      <c r="D18" s="2">
        <v>14</v>
      </c>
      <c r="E18" s="2">
        <v>6</v>
      </c>
      <c r="F18" s="2">
        <v>2.5</v>
      </c>
      <c r="G18" s="2">
        <v>2</v>
      </c>
      <c r="H18" s="3">
        <f t="shared" si="0"/>
        <v>5</v>
      </c>
      <c r="I18" s="4"/>
    </row>
    <row r="19" spans="1:9" ht="27" x14ac:dyDescent="0.85">
      <c r="A19" s="2">
        <v>12</v>
      </c>
      <c r="B19" s="10" t="s">
        <v>36</v>
      </c>
      <c r="C19" s="10" t="s">
        <v>22</v>
      </c>
      <c r="D19" s="2">
        <v>17</v>
      </c>
      <c r="E19" s="2">
        <v>12.5</v>
      </c>
      <c r="F19" s="2">
        <v>14.5</v>
      </c>
      <c r="G19" s="2">
        <v>2</v>
      </c>
      <c r="H19" s="3">
        <f t="shared" si="0"/>
        <v>14.583333333333334</v>
      </c>
      <c r="I19" s="4"/>
    </row>
    <row r="20" spans="1:9" ht="27" x14ac:dyDescent="0.85">
      <c r="A20" s="2">
        <v>13</v>
      </c>
      <c r="B20" s="10" t="s">
        <v>37</v>
      </c>
      <c r="C20" s="10" t="s">
        <v>22</v>
      </c>
      <c r="D20" s="2">
        <v>14</v>
      </c>
      <c r="E20" s="2">
        <v>11.5</v>
      </c>
      <c r="F20" s="2">
        <v>11.5</v>
      </c>
      <c r="G20" s="2">
        <v>2</v>
      </c>
      <c r="H20" s="3">
        <f t="shared" si="0"/>
        <v>11.916666666666666</v>
      </c>
      <c r="I20" s="4"/>
    </row>
    <row r="21" spans="1:9" ht="27" x14ac:dyDescent="0.85">
      <c r="A21" s="2">
        <v>14</v>
      </c>
      <c r="B21" s="10" t="s">
        <v>38</v>
      </c>
      <c r="C21" s="10" t="s">
        <v>22</v>
      </c>
      <c r="D21" s="2">
        <v>18</v>
      </c>
      <c r="E21" s="2">
        <v>17.5</v>
      </c>
      <c r="F21" s="2">
        <v>16.5</v>
      </c>
      <c r="G21" s="2">
        <v>2</v>
      </c>
      <c r="H21" s="3">
        <f t="shared" si="0"/>
        <v>16.916666666666668</v>
      </c>
      <c r="I21" s="4"/>
    </row>
    <row r="22" spans="1:9" ht="27" x14ac:dyDescent="0.85">
      <c r="A22" s="2">
        <v>15</v>
      </c>
      <c r="B22" s="10" t="s">
        <v>39</v>
      </c>
      <c r="C22" s="10" t="s">
        <v>22</v>
      </c>
      <c r="D22" s="2">
        <v>14</v>
      </c>
      <c r="E22" s="2">
        <v>13</v>
      </c>
      <c r="F22" s="2">
        <v>8</v>
      </c>
      <c r="G22" s="2">
        <v>2</v>
      </c>
      <c r="H22" s="3">
        <f t="shared" si="0"/>
        <v>9.8333333333333339</v>
      </c>
      <c r="I22" s="4"/>
    </row>
    <row r="23" spans="1:9" ht="27" x14ac:dyDescent="0.85">
      <c r="A23" s="2">
        <v>16</v>
      </c>
      <c r="B23" s="10" t="s">
        <v>40</v>
      </c>
      <c r="C23" s="10" t="s">
        <v>22</v>
      </c>
      <c r="D23" s="2">
        <v>15</v>
      </c>
      <c r="E23" s="2">
        <v>10</v>
      </c>
      <c r="F23" s="2">
        <v>12</v>
      </c>
      <c r="G23" s="2">
        <v>2</v>
      </c>
      <c r="H23" s="3">
        <f t="shared" si="0"/>
        <v>12.166666666666666</v>
      </c>
      <c r="I23" s="4"/>
    </row>
    <row r="24" spans="1:9" ht="27" x14ac:dyDescent="0.85">
      <c r="A24" s="2">
        <v>17</v>
      </c>
      <c r="B24" s="10" t="s">
        <v>41</v>
      </c>
      <c r="C24" s="10" t="s">
        <v>22</v>
      </c>
      <c r="D24" s="2">
        <v>13</v>
      </c>
      <c r="E24" s="2">
        <v>6</v>
      </c>
      <c r="F24" s="2">
        <v>3</v>
      </c>
      <c r="G24" s="2">
        <v>2</v>
      </c>
      <c r="H24" s="3">
        <f t="shared" si="0"/>
        <v>5.166666666666667</v>
      </c>
      <c r="I24" s="4"/>
    </row>
    <row r="25" spans="1:9" ht="27" x14ac:dyDescent="0.85">
      <c r="A25" s="2">
        <v>18</v>
      </c>
      <c r="B25" s="10" t="s">
        <v>42</v>
      </c>
      <c r="C25" s="10" t="s">
        <v>22</v>
      </c>
      <c r="D25" s="2">
        <v>18</v>
      </c>
      <c r="E25" s="2">
        <v>17.5</v>
      </c>
      <c r="F25" s="2">
        <v>16.5</v>
      </c>
      <c r="G25" s="2">
        <v>2</v>
      </c>
      <c r="H25" s="3">
        <f t="shared" si="0"/>
        <v>16.916666666666668</v>
      </c>
      <c r="I25" s="4"/>
    </row>
    <row r="26" spans="1:9" ht="27" x14ac:dyDescent="0.85">
      <c r="A26" s="2">
        <v>19</v>
      </c>
      <c r="B26" s="10" t="s">
        <v>43</v>
      </c>
      <c r="C26" s="10" t="s">
        <v>22</v>
      </c>
      <c r="D26" s="2">
        <v>18</v>
      </c>
      <c r="E26" s="2">
        <v>12.5</v>
      </c>
      <c r="F26" s="2">
        <v>11</v>
      </c>
      <c r="G26" s="2">
        <v>2</v>
      </c>
      <c r="H26" s="3">
        <f t="shared" si="0"/>
        <v>12.416666666666666</v>
      </c>
      <c r="I26" s="4"/>
    </row>
    <row r="27" spans="1:9" ht="27" x14ac:dyDescent="0.85">
      <c r="A27" s="2">
        <v>20</v>
      </c>
      <c r="B27" s="10" t="s">
        <v>44</v>
      </c>
      <c r="C27" s="10" t="s">
        <v>22</v>
      </c>
      <c r="D27" s="2">
        <v>18</v>
      </c>
      <c r="E27" s="2">
        <v>11</v>
      </c>
      <c r="F27" s="2">
        <v>14</v>
      </c>
      <c r="G27" s="2">
        <v>2</v>
      </c>
      <c r="H27" s="3">
        <f t="shared" si="0"/>
        <v>14.166666666666666</v>
      </c>
      <c r="I27" s="4"/>
    </row>
    <row r="28" spans="1:9" ht="27" x14ac:dyDescent="0.85">
      <c r="A28" s="2">
        <v>21</v>
      </c>
      <c r="B28" s="10" t="s">
        <v>45</v>
      </c>
      <c r="C28" s="10" t="s">
        <v>22</v>
      </c>
      <c r="D28" s="2">
        <v>16</v>
      </c>
      <c r="E28" s="2">
        <v>8.5</v>
      </c>
      <c r="F28" s="2">
        <v>13.5</v>
      </c>
      <c r="G28" s="2">
        <v>2</v>
      </c>
      <c r="H28" s="3">
        <f t="shared" si="0"/>
        <v>13.083333333333334</v>
      </c>
      <c r="I28" s="4"/>
    </row>
    <row r="29" spans="1:9" ht="27" x14ac:dyDescent="0.85">
      <c r="A29" s="2">
        <v>22</v>
      </c>
      <c r="B29" s="10" t="s">
        <v>46</v>
      </c>
      <c r="C29" s="10" t="s">
        <v>22</v>
      </c>
      <c r="D29" s="2">
        <v>15</v>
      </c>
      <c r="E29" s="2">
        <v>12.5</v>
      </c>
      <c r="F29" s="2">
        <v>13</v>
      </c>
      <c r="G29" s="2">
        <v>2</v>
      </c>
      <c r="H29" s="3">
        <f t="shared" si="0"/>
        <v>13.25</v>
      </c>
      <c r="I29" s="4"/>
    </row>
    <row r="30" spans="1:9" ht="27" x14ac:dyDescent="0.85">
      <c r="A30" s="2">
        <v>23</v>
      </c>
      <c r="B30" s="10" t="s">
        <v>47</v>
      </c>
      <c r="C30" s="10" t="s">
        <v>22</v>
      </c>
      <c r="D30" s="2">
        <v>17</v>
      </c>
      <c r="E30" s="2">
        <v>12.5</v>
      </c>
      <c r="F30" s="2">
        <v>15.5</v>
      </c>
      <c r="G30" s="2">
        <v>2</v>
      </c>
      <c r="H30" s="3">
        <f t="shared" si="0"/>
        <v>15.25</v>
      </c>
      <c r="I30" s="4"/>
    </row>
    <row r="31" spans="1:9" ht="27" x14ac:dyDescent="0.85">
      <c r="A31" s="2">
        <v>24</v>
      </c>
      <c r="B31" s="10" t="s">
        <v>48</v>
      </c>
      <c r="C31" s="10" t="s">
        <v>22</v>
      </c>
      <c r="D31" s="2">
        <v>13</v>
      </c>
      <c r="E31" s="2">
        <v>13</v>
      </c>
      <c r="F31" s="2">
        <v>11.5</v>
      </c>
      <c r="G31" s="2">
        <v>2</v>
      </c>
      <c r="H31" s="3">
        <f t="shared" si="0"/>
        <v>12</v>
      </c>
      <c r="I31" s="4"/>
    </row>
    <row r="32" spans="1:9" ht="27" x14ac:dyDescent="0.85">
      <c r="A32" s="2">
        <v>25</v>
      </c>
      <c r="B32" s="10" t="s">
        <v>49</v>
      </c>
      <c r="C32" s="10" t="s">
        <v>22</v>
      </c>
      <c r="D32" s="2">
        <v>11</v>
      </c>
      <c r="E32" s="2">
        <v>7</v>
      </c>
      <c r="F32" s="2">
        <v>5</v>
      </c>
      <c r="G32" s="2">
        <v>2</v>
      </c>
      <c r="H32" s="3">
        <f t="shared" si="0"/>
        <v>6.333333333333333</v>
      </c>
      <c r="I32" s="4"/>
    </row>
    <row r="33" spans="1:9" ht="27" x14ac:dyDescent="0.85">
      <c r="A33" s="2">
        <v>26</v>
      </c>
      <c r="B33" s="10" t="s">
        <v>50</v>
      </c>
      <c r="C33" s="10" t="s">
        <v>22</v>
      </c>
      <c r="D33" s="2">
        <v>14</v>
      </c>
      <c r="E33" s="2">
        <v>9.5</v>
      </c>
      <c r="F33" s="2">
        <v>6.5</v>
      </c>
      <c r="G33" s="2">
        <v>2</v>
      </c>
      <c r="H33" s="3">
        <f t="shared" si="0"/>
        <v>8.25</v>
      </c>
      <c r="I33" s="4"/>
    </row>
    <row r="34" spans="1:9" ht="27" x14ac:dyDescent="0.85">
      <c r="A34" s="2">
        <v>27</v>
      </c>
      <c r="B34" s="10" t="s">
        <v>51</v>
      </c>
      <c r="C34" s="10" t="s">
        <v>22</v>
      </c>
      <c r="D34" s="2">
        <v>15</v>
      </c>
      <c r="E34" s="2">
        <v>10</v>
      </c>
      <c r="F34" s="2">
        <v>9.5</v>
      </c>
      <c r="G34" s="2">
        <v>2</v>
      </c>
      <c r="H34" s="3">
        <f t="shared" si="0"/>
        <v>10.5</v>
      </c>
      <c r="I34" s="4"/>
    </row>
    <row r="35" spans="1:9" ht="27" x14ac:dyDescent="0.85">
      <c r="A35" s="2">
        <v>28</v>
      </c>
      <c r="B35" s="10" t="s">
        <v>52</v>
      </c>
      <c r="C35" s="10" t="s">
        <v>22</v>
      </c>
      <c r="D35" s="2">
        <v>16</v>
      </c>
      <c r="E35" s="2">
        <v>15.5</v>
      </c>
      <c r="F35" s="2">
        <v>11.5</v>
      </c>
      <c r="G35" s="2">
        <v>2</v>
      </c>
      <c r="H35" s="3">
        <f t="shared" si="0"/>
        <v>12.916666666666666</v>
      </c>
      <c r="I35" s="4"/>
    </row>
    <row r="36" spans="1:9" ht="27" x14ac:dyDescent="0.85">
      <c r="A36" s="2">
        <v>29</v>
      </c>
      <c r="B36" s="10" t="s">
        <v>53</v>
      </c>
      <c r="C36" s="10" t="s">
        <v>22</v>
      </c>
      <c r="D36" s="2">
        <v>0</v>
      </c>
      <c r="E36" s="2">
        <v>0</v>
      </c>
      <c r="F36" s="2">
        <v>0</v>
      </c>
      <c r="G36" s="2">
        <v>2</v>
      </c>
      <c r="H36" s="3">
        <f t="shared" si="0"/>
        <v>0</v>
      </c>
      <c r="I36" s="4"/>
    </row>
    <row r="37" spans="1:9" ht="27" x14ac:dyDescent="0.85">
      <c r="A37" s="2">
        <v>30</v>
      </c>
      <c r="B37" s="10" t="s">
        <v>54</v>
      </c>
      <c r="C37" s="10" t="s">
        <v>22</v>
      </c>
      <c r="D37" s="2">
        <v>15</v>
      </c>
      <c r="E37" s="2">
        <v>8</v>
      </c>
      <c r="F37" s="2">
        <v>11.5</v>
      </c>
      <c r="G37" s="2">
        <v>2</v>
      </c>
      <c r="H37" s="3">
        <f t="shared" si="0"/>
        <v>11.5</v>
      </c>
      <c r="I37" s="4"/>
    </row>
    <row r="38" spans="1:9" ht="27" x14ac:dyDescent="0.85">
      <c r="A38" s="2">
        <v>31</v>
      </c>
      <c r="B38" s="10" t="s">
        <v>55</v>
      </c>
      <c r="C38" s="10" t="s">
        <v>22</v>
      </c>
      <c r="D38" s="2">
        <v>17</v>
      </c>
      <c r="E38" s="2">
        <v>9</v>
      </c>
      <c r="F38" s="2">
        <v>6</v>
      </c>
      <c r="G38" s="2">
        <v>2</v>
      </c>
      <c r="H38" s="3">
        <f t="shared" si="0"/>
        <v>8.3333333333333339</v>
      </c>
      <c r="I38" s="4"/>
    </row>
    <row r="39" spans="1:9" ht="27" x14ac:dyDescent="0.85">
      <c r="A39" s="2">
        <v>32</v>
      </c>
      <c r="B39" s="10" t="s">
        <v>56</v>
      </c>
      <c r="C39" s="10" t="s">
        <v>22</v>
      </c>
      <c r="D39" s="2">
        <v>12</v>
      </c>
      <c r="E39" s="2">
        <v>4</v>
      </c>
      <c r="F39" s="2">
        <v>3.5</v>
      </c>
      <c r="G39" s="2">
        <v>2</v>
      </c>
      <c r="H39" s="3">
        <f t="shared" si="0"/>
        <v>5</v>
      </c>
      <c r="I39" s="4"/>
    </row>
    <row r="40" spans="1:9" ht="27" x14ac:dyDescent="0.85">
      <c r="A40" s="2">
        <v>33</v>
      </c>
      <c r="B40" s="10" t="s">
        <v>57</v>
      </c>
      <c r="C40" s="10" t="s">
        <v>22</v>
      </c>
      <c r="D40" s="2">
        <v>18</v>
      </c>
      <c r="E40" s="2">
        <v>19</v>
      </c>
      <c r="F40" s="2">
        <v>19</v>
      </c>
      <c r="G40" s="2">
        <v>2</v>
      </c>
      <c r="H40" s="3">
        <f t="shared" si="0"/>
        <v>18.833333333333332</v>
      </c>
      <c r="I40" s="4"/>
    </row>
    <row r="41" spans="1:9" ht="27" x14ac:dyDescent="0.85">
      <c r="A41" s="2">
        <v>34</v>
      </c>
      <c r="B41" s="10" t="s">
        <v>58</v>
      </c>
      <c r="C41" s="10" t="s">
        <v>22</v>
      </c>
      <c r="D41" s="2">
        <v>16</v>
      </c>
      <c r="E41" s="2">
        <v>13</v>
      </c>
      <c r="F41" s="2">
        <v>9.5</v>
      </c>
      <c r="G41" s="2">
        <v>2</v>
      </c>
      <c r="H41" s="3">
        <f t="shared" si="0"/>
        <v>11.166666666666666</v>
      </c>
      <c r="I41" s="4"/>
    </row>
    <row r="42" spans="1:9" ht="27" x14ac:dyDescent="0.85">
      <c r="A42" s="2">
        <v>35</v>
      </c>
      <c r="B42" s="10" t="s">
        <v>59</v>
      </c>
      <c r="C42" s="10" t="s">
        <v>22</v>
      </c>
      <c r="D42" s="2">
        <v>15</v>
      </c>
      <c r="E42" s="2">
        <v>10.5</v>
      </c>
      <c r="F42" s="2">
        <v>12</v>
      </c>
      <c r="G42" s="2">
        <v>2</v>
      </c>
      <c r="H42" s="3">
        <f t="shared" si="0"/>
        <v>12.25</v>
      </c>
      <c r="I42" s="4"/>
    </row>
    <row r="43" spans="1:9" ht="27" x14ac:dyDescent="0.85">
      <c r="A43" s="2">
        <v>36</v>
      </c>
      <c r="B43" s="10" t="s">
        <v>60</v>
      </c>
      <c r="C43" s="10" t="s">
        <v>22</v>
      </c>
      <c r="D43" s="2">
        <v>15</v>
      </c>
      <c r="E43" s="2">
        <v>10</v>
      </c>
      <c r="F43" s="2">
        <v>12.5</v>
      </c>
      <c r="G43" s="2">
        <v>2</v>
      </c>
      <c r="H43" s="3">
        <f t="shared" si="0"/>
        <v>12.5</v>
      </c>
      <c r="I43" s="4"/>
    </row>
    <row r="44" spans="1:9" ht="27" x14ac:dyDescent="0.85">
      <c r="A44" s="2">
        <v>37</v>
      </c>
      <c r="B44" s="10" t="s">
        <v>61</v>
      </c>
      <c r="C44" s="10" t="s">
        <v>22</v>
      </c>
      <c r="D44" s="2">
        <v>17</v>
      </c>
      <c r="E44" s="2">
        <v>12</v>
      </c>
      <c r="F44" s="2">
        <v>12.5</v>
      </c>
      <c r="G44" s="2">
        <v>2</v>
      </c>
      <c r="H44" s="3">
        <f t="shared" si="0"/>
        <v>13.166666666666666</v>
      </c>
      <c r="I44" s="4"/>
    </row>
    <row r="45" spans="1:9" ht="27" x14ac:dyDescent="0.85">
      <c r="A45" s="2">
        <v>38</v>
      </c>
      <c r="B45" s="10" t="s">
        <v>62</v>
      </c>
      <c r="C45" s="10" t="s">
        <v>22</v>
      </c>
      <c r="D45" s="2">
        <v>14</v>
      </c>
      <c r="E45" s="2">
        <v>9</v>
      </c>
      <c r="F45" s="2">
        <v>11</v>
      </c>
      <c r="G45" s="2">
        <v>2</v>
      </c>
      <c r="H45" s="3">
        <f t="shared" si="0"/>
        <v>11.166666666666666</v>
      </c>
      <c r="I45" s="4"/>
    </row>
    <row r="46" spans="1:9" ht="27" x14ac:dyDescent="0.85">
      <c r="A46" s="2">
        <v>39</v>
      </c>
      <c r="B46" s="10" t="s">
        <v>63</v>
      </c>
      <c r="C46" s="10" t="s">
        <v>22</v>
      </c>
      <c r="D46" s="2">
        <v>14</v>
      </c>
      <c r="E46" s="2">
        <v>3</v>
      </c>
      <c r="F46" s="2">
        <v>6</v>
      </c>
      <c r="G46" s="2">
        <v>2</v>
      </c>
      <c r="H46" s="3">
        <f t="shared" si="0"/>
        <v>6.833333333333333</v>
      </c>
      <c r="I46" s="4"/>
    </row>
    <row r="47" spans="1:9" ht="27" x14ac:dyDescent="0.85">
      <c r="A47" s="2">
        <v>40</v>
      </c>
      <c r="B47" s="10" t="s">
        <v>64</v>
      </c>
      <c r="C47" s="10" t="s">
        <v>22</v>
      </c>
      <c r="D47" s="2">
        <v>18</v>
      </c>
      <c r="E47" s="2">
        <v>17.5</v>
      </c>
      <c r="F47" s="2">
        <v>17.5</v>
      </c>
      <c r="G47" s="2">
        <v>2</v>
      </c>
      <c r="H47" s="3">
        <f t="shared" si="0"/>
        <v>17.583333333333332</v>
      </c>
      <c r="I47" s="4"/>
    </row>
    <row r="48" spans="1:9" ht="27" x14ac:dyDescent="0.85">
      <c r="A48" s="2">
        <v>41</v>
      </c>
      <c r="B48" s="10" t="s">
        <v>65</v>
      </c>
      <c r="C48" s="10" t="s">
        <v>22</v>
      </c>
      <c r="D48" s="2">
        <v>15</v>
      </c>
      <c r="E48" s="2">
        <v>10</v>
      </c>
      <c r="F48" s="2">
        <v>12.5</v>
      </c>
      <c r="G48" s="2">
        <v>2</v>
      </c>
      <c r="H48" s="3">
        <f t="shared" si="0"/>
        <v>12.5</v>
      </c>
      <c r="I48" s="4"/>
    </row>
    <row r="49" spans="1:9" ht="27" x14ac:dyDescent="0.85">
      <c r="A49" s="2">
        <v>42</v>
      </c>
      <c r="B49" s="10" t="s">
        <v>66</v>
      </c>
      <c r="C49" s="10" t="s">
        <v>22</v>
      </c>
      <c r="D49" s="2">
        <v>15</v>
      </c>
      <c r="E49" s="2">
        <v>13</v>
      </c>
      <c r="F49" s="2">
        <v>11.5</v>
      </c>
      <c r="G49" s="2">
        <v>2</v>
      </c>
      <c r="H49" s="3">
        <f t="shared" si="0"/>
        <v>12.333333333333334</v>
      </c>
      <c r="I49" s="4"/>
    </row>
    <row r="50" spans="1:9" ht="27" x14ac:dyDescent="0.85">
      <c r="A50" s="2">
        <v>43</v>
      </c>
      <c r="B50" s="10"/>
      <c r="C50" s="10"/>
      <c r="D50" s="2"/>
      <c r="E50" s="2"/>
      <c r="F50" s="2"/>
      <c r="G50" s="2">
        <v>2</v>
      </c>
      <c r="H50" s="3" t="str">
        <f t="shared" si="0"/>
        <v xml:space="preserve"> </v>
      </c>
      <c r="I50" s="4"/>
    </row>
    <row r="51" spans="1:9" ht="27" x14ac:dyDescent="0.85">
      <c r="A51" s="2">
        <v>44</v>
      </c>
      <c r="B51" s="10"/>
      <c r="C51" s="10"/>
      <c r="D51" s="2"/>
      <c r="E51" s="2"/>
      <c r="F51" s="2"/>
      <c r="G51" s="2">
        <v>2</v>
      </c>
      <c r="H51" s="3" t="str">
        <f t="shared" si="0"/>
        <v xml:space="preserve"> </v>
      </c>
      <c r="I51" s="4"/>
    </row>
    <row r="52" spans="1:9" ht="27" x14ac:dyDescent="0.85">
      <c r="A52" s="2">
        <v>45</v>
      </c>
      <c r="B52" s="10"/>
      <c r="C52" s="10"/>
      <c r="D52" s="2"/>
      <c r="E52" s="2"/>
      <c r="F52" s="2"/>
      <c r="G52" s="2">
        <v>2</v>
      </c>
      <c r="H52" s="3" t="str">
        <f t="shared" si="0"/>
        <v xml:space="preserve"> </v>
      </c>
      <c r="I52" s="4"/>
    </row>
    <row r="53" spans="1:9" ht="27" x14ac:dyDescent="0.85">
      <c r="A53" s="2">
        <v>46</v>
      </c>
      <c r="B53" s="10"/>
      <c r="C53" s="10"/>
      <c r="D53" s="2"/>
      <c r="E53" s="2"/>
      <c r="F53" s="2"/>
      <c r="G53" s="2">
        <v>2</v>
      </c>
      <c r="H53" s="3" t="str">
        <f t="shared" si="0"/>
        <v xml:space="preserve"> </v>
      </c>
      <c r="I53" s="4"/>
    </row>
    <row r="54" spans="1:9" ht="27" x14ac:dyDescent="0.85">
      <c r="A54" s="2">
        <v>47</v>
      </c>
      <c r="B54" s="10"/>
      <c r="C54" s="10"/>
      <c r="D54" s="2"/>
      <c r="E54" s="2"/>
      <c r="F54" s="2"/>
      <c r="G54" s="2">
        <v>2</v>
      </c>
      <c r="H54" s="3" t="str">
        <f t="shared" si="0"/>
        <v xml:space="preserve"> </v>
      </c>
      <c r="I54" s="4"/>
    </row>
    <row r="55" spans="1:9" ht="27" x14ac:dyDescent="0.85">
      <c r="A55" s="2">
        <v>48</v>
      </c>
      <c r="B55" s="10"/>
      <c r="C55" s="10"/>
      <c r="D55" s="2"/>
      <c r="E55" s="2"/>
      <c r="F55" s="2"/>
      <c r="G55" s="2">
        <v>2</v>
      </c>
      <c r="H55" s="3" t="str">
        <f t="shared" si="0"/>
        <v xml:space="preserve"> </v>
      </c>
      <c r="I55" s="4"/>
    </row>
    <row r="56" spans="1:9" ht="27" x14ac:dyDescent="0.85">
      <c r="A56" s="2">
        <v>49</v>
      </c>
      <c r="B56" s="10"/>
      <c r="C56" s="10"/>
      <c r="D56" s="2"/>
      <c r="E56" s="2"/>
      <c r="F56" s="2"/>
      <c r="G56" s="2">
        <v>2</v>
      </c>
      <c r="H56" s="3" t="str">
        <f t="shared" si="0"/>
        <v xml:space="preserve"> </v>
      </c>
      <c r="I56" s="4"/>
    </row>
    <row r="57" spans="1:9" ht="27" x14ac:dyDescent="0.85">
      <c r="A57" s="2">
        <v>50</v>
      </c>
      <c r="B57" s="10"/>
      <c r="C57" s="10"/>
      <c r="D57" s="2"/>
      <c r="E57" s="2"/>
      <c r="F57" s="2"/>
      <c r="G57" s="2">
        <v>2</v>
      </c>
      <c r="H57" s="3" t="str">
        <f t="shared" si="0"/>
        <v xml:space="preserve"> </v>
      </c>
      <c r="I57" s="4"/>
    </row>
    <row r="58" spans="1:9" ht="27" x14ac:dyDescent="0.85">
      <c r="A58" s="2">
        <v>51</v>
      </c>
      <c r="B58" s="10"/>
      <c r="C58" s="10"/>
      <c r="D58" s="2"/>
      <c r="E58" s="2"/>
      <c r="F58" s="2"/>
      <c r="G58" s="2">
        <v>2</v>
      </c>
      <c r="H58" s="3" t="str">
        <f t="shared" si="0"/>
        <v xml:space="preserve"> </v>
      </c>
      <c r="I58" s="4"/>
    </row>
    <row r="59" spans="1:9" ht="27" x14ac:dyDescent="0.85">
      <c r="A59" s="2">
        <v>52</v>
      </c>
      <c r="B59" s="10"/>
      <c r="C59" s="10"/>
      <c r="D59" s="2"/>
      <c r="E59" s="2"/>
      <c r="F59" s="2"/>
      <c r="G59" s="2">
        <v>2</v>
      </c>
      <c r="H59" s="3" t="str">
        <f t="shared" si="0"/>
        <v xml:space="preserve"> </v>
      </c>
      <c r="I59" s="4"/>
    </row>
    <row r="60" spans="1:9" ht="27" x14ac:dyDescent="0.85">
      <c r="A60" s="2">
        <v>53</v>
      </c>
      <c r="B60" s="10"/>
      <c r="C60" s="10"/>
      <c r="D60" s="2"/>
      <c r="E60" s="2"/>
      <c r="F60" s="2"/>
      <c r="G60" s="2">
        <v>2</v>
      </c>
      <c r="H60" s="3" t="str">
        <f t="shared" si="0"/>
        <v xml:space="preserve"> </v>
      </c>
      <c r="I60" s="4"/>
    </row>
    <row r="61" spans="1:9" ht="27" x14ac:dyDescent="0.85">
      <c r="A61" s="2">
        <v>54</v>
      </c>
      <c r="B61" s="10"/>
      <c r="C61" s="10"/>
      <c r="D61" s="2"/>
      <c r="E61" s="2"/>
      <c r="F61" s="2"/>
      <c r="G61" s="2">
        <v>2</v>
      </c>
      <c r="H61" s="3" t="str">
        <f t="shared" si="0"/>
        <v xml:space="preserve"> </v>
      </c>
      <c r="I61" s="4"/>
    </row>
    <row r="62" spans="1:9" ht="27" x14ac:dyDescent="0.85">
      <c r="A62" s="2">
        <v>55</v>
      </c>
      <c r="B62" s="10"/>
      <c r="C62" s="10"/>
      <c r="D62" s="2"/>
      <c r="E62" s="2"/>
      <c r="F62" s="2"/>
      <c r="G62" s="2">
        <v>2</v>
      </c>
      <c r="H62" s="3" t="str">
        <f t="shared" si="0"/>
        <v xml:space="preserve"> </v>
      </c>
      <c r="I62" s="4"/>
    </row>
    <row r="63" spans="1:9" ht="27" x14ac:dyDescent="0.85">
      <c r="A63" s="2">
        <v>56</v>
      </c>
      <c r="B63" s="10"/>
      <c r="C63" s="10"/>
      <c r="D63" s="2"/>
      <c r="E63" s="2"/>
      <c r="F63" s="2"/>
      <c r="G63" s="2">
        <v>2</v>
      </c>
      <c r="H63" s="3" t="str">
        <f t="shared" si="0"/>
        <v xml:space="preserve"> </v>
      </c>
      <c r="I63" s="4"/>
    </row>
    <row r="64" spans="1:9" ht="27" x14ac:dyDescent="0.85">
      <c r="A64" s="2">
        <v>57</v>
      </c>
      <c r="B64" s="10"/>
      <c r="C64" s="10"/>
      <c r="D64" s="2"/>
      <c r="E64" s="2"/>
      <c r="F64" s="2"/>
      <c r="G64" s="2">
        <v>2</v>
      </c>
      <c r="H64" s="3" t="str">
        <f t="shared" si="0"/>
        <v xml:space="preserve"> </v>
      </c>
      <c r="I64" s="4"/>
    </row>
    <row r="65" spans="1:9" ht="27" x14ac:dyDescent="0.85">
      <c r="A65" s="2">
        <v>58</v>
      </c>
      <c r="B65" s="10"/>
      <c r="C65" s="10"/>
      <c r="D65" s="2"/>
      <c r="E65" s="2"/>
      <c r="F65" s="2"/>
      <c r="G65" s="2">
        <v>2</v>
      </c>
      <c r="H65" s="3" t="str">
        <f t="shared" si="0"/>
        <v xml:space="preserve"> </v>
      </c>
      <c r="I65" s="4"/>
    </row>
    <row r="66" spans="1:9" ht="27" x14ac:dyDescent="0.85">
      <c r="A66" s="2">
        <v>59</v>
      </c>
      <c r="B66" s="10"/>
      <c r="C66" s="10"/>
      <c r="D66" s="2"/>
      <c r="E66" s="2"/>
      <c r="F66" s="2"/>
      <c r="G66" s="2">
        <v>2</v>
      </c>
      <c r="H66" s="3" t="str">
        <f t="shared" si="0"/>
        <v xml:space="preserve"> </v>
      </c>
      <c r="I66" s="4"/>
    </row>
    <row r="68" spans="1:9" ht="27" x14ac:dyDescent="0.3">
      <c r="B68" s="21" t="s">
        <v>7</v>
      </c>
      <c r="C68" s="22"/>
      <c r="D68" s="5">
        <f>COUNTA(B8:B66)</f>
        <v>42</v>
      </c>
      <c r="E68" s="5"/>
      <c r="G68" s="7"/>
      <c r="H68" s="8"/>
    </row>
    <row r="69" spans="1:9" ht="27" x14ac:dyDescent="0.3">
      <c r="B69" s="21" t="s">
        <v>8</v>
      </c>
      <c r="C69" s="22"/>
      <c r="D69" s="5">
        <f>COUNTIF(H8:H66,"&gt;=10")</f>
        <v>30</v>
      </c>
      <c r="E69" s="6">
        <f>D69/D68</f>
        <v>0.7142857142857143</v>
      </c>
    </row>
    <row r="70" spans="1:9" ht="27" x14ac:dyDescent="0.3">
      <c r="B70" s="21" t="s">
        <v>9</v>
      </c>
      <c r="C70" s="22"/>
      <c r="D70" s="5">
        <f>COUNTIF(H8:H66,"&lt;10")</f>
        <v>12</v>
      </c>
      <c r="E70" s="6">
        <f>D70/D68</f>
        <v>0.2857142857142857</v>
      </c>
    </row>
    <row r="71" spans="1:9" ht="27" x14ac:dyDescent="0.3">
      <c r="B71" s="21" t="s">
        <v>5</v>
      </c>
      <c r="C71" s="22"/>
      <c r="D71" s="23">
        <f>AVERAGE(H8:H66)</f>
        <v>11.521825396825395</v>
      </c>
      <c r="E71" s="24"/>
    </row>
  </sheetData>
  <mergeCells count="7">
    <mergeCell ref="B71:C71"/>
    <mergeCell ref="D71:E71"/>
    <mergeCell ref="A1:I1"/>
    <mergeCell ref="C2:G4"/>
    <mergeCell ref="B68:C68"/>
    <mergeCell ref="B69:C69"/>
    <mergeCell ref="B70:C70"/>
  </mergeCells>
  <phoneticPr fontId="11" type="noConversion"/>
  <conditionalFormatting sqref="H8:H66">
    <cfRule type="cellIs" dxfId="5" priority="1" operator="greaterThan">
      <formula>9.99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46D5-ED4B-4C06-93BE-556B043C4881}">
  <dimension ref="A1:I71"/>
  <sheetViews>
    <sheetView rightToLeft="1" zoomScale="85" zoomScaleNormal="85" workbookViewId="0">
      <selection activeCell="B5" sqref="B5"/>
    </sheetView>
  </sheetViews>
  <sheetFormatPr defaultRowHeight="14.4" x14ac:dyDescent="0.3"/>
  <cols>
    <col min="1" max="1" width="4.6640625" customWidth="1"/>
    <col min="2" max="3" width="16.21875" customWidth="1"/>
    <col min="4" max="4" width="9" bestFit="1" customWidth="1"/>
    <col min="5" max="5" width="11.33203125" bestFit="1" customWidth="1"/>
    <col min="8" max="8" width="12.88671875" style="1" customWidth="1"/>
    <col min="9" max="9" width="16.21875" customWidth="1"/>
  </cols>
  <sheetData>
    <row r="1" spans="1:9" ht="27" x14ac:dyDescent="0.85">
      <c r="A1" s="25" t="s">
        <v>70</v>
      </c>
      <c r="B1" s="25"/>
      <c r="C1" s="25"/>
      <c r="D1" s="25"/>
      <c r="E1" s="25"/>
      <c r="F1" s="25"/>
      <c r="G1" s="25"/>
      <c r="H1" s="25"/>
      <c r="I1" s="25"/>
    </row>
    <row r="2" spans="1:9" ht="21" customHeight="1" x14ac:dyDescent="0.3">
      <c r="C2" s="26" t="s">
        <v>12</v>
      </c>
      <c r="D2" s="26"/>
      <c r="E2" s="26"/>
      <c r="F2" s="26"/>
      <c r="G2" s="26"/>
      <c r="I2" s="12" t="s">
        <v>21</v>
      </c>
    </row>
    <row r="3" spans="1:9" ht="14.4" customHeight="1" x14ac:dyDescent="0.3">
      <c r="C3" s="26"/>
      <c r="D3" s="26"/>
      <c r="E3" s="26"/>
      <c r="F3" s="26"/>
      <c r="G3" s="26"/>
      <c r="I3" s="14"/>
    </row>
    <row r="4" spans="1:9" x14ac:dyDescent="0.3">
      <c r="C4" s="26"/>
      <c r="D4" s="26"/>
      <c r="E4" s="26"/>
      <c r="F4" s="26"/>
      <c r="G4" s="26"/>
    </row>
    <row r="5" spans="1:9" ht="15.6" x14ac:dyDescent="0.3">
      <c r="B5" s="11" t="s">
        <v>73</v>
      </c>
    </row>
    <row r="6" spans="1:9" ht="15.6" x14ac:dyDescent="0.3">
      <c r="B6" s="11" t="s">
        <v>13</v>
      </c>
    </row>
    <row r="7" spans="1:9" s="1" customFormat="1" ht="27" x14ac:dyDescent="0.85">
      <c r="A7" s="9" t="s">
        <v>0</v>
      </c>
      <c r="B7" s="9" t="s">
        <v>10</v>
      </c>
      <c r="C7" s="9" t="s">
        <v>11</v>
      </c>
      <c r="D7" s="9" t="s">
        <v>1</v>
      </c>
      <c r="E7" s="9" t="s">
        <v>2</v>
      </c>
      <c r="F7" s="9" t="s">
        <v>3</v>
      </c>
      <c r="G7" s="9" t="s">
        <v>4</v>
      </c>
      <c r="H7" s="9" t="s">
        <v>5</v>
      </c>
      <c r="I7" s="9" t="s">
        <v>6</v>
      </c>
    </row>
    <row r="8" spans="1:9" ht="27" x14ac:dyDescent="0.85">
      <c r="A8" s="2">
        <v>1</v>
      </c>
      <c r="B8" s="10" t="s">
        <v>25</v>
      </c>
      <c r="C8" s="10" t="s">
        <v>22</v>
      </c>
      <c r="D8" s="2">
        <v>11</v>
      </c>
      <c r="E8" s="2">
        <v>3</v>
      </c>
      <c r="F8" s="2">
        <v>1</v>
      </c>
      <c r="G8" s="2">
        <v>2</v>
      </c>
      <c r="H8" s="3">
        <f>IF(ISBLANK(B8)," ",(D8+E8+F8*4)/6)</f>
        <v>3</v>
      </c>
      <c r="I8" s="4"/>
    </row>
    <row r="9" spans="1:9" ht="27" x14ac:dyDescent="0.85">
      <c r="A9" s="2">
        <v>2</v>
      </c>
      <c r="B9" s="10" t="s">
        <v>26</v>
      </c>
      <c r="C9" s="10" t="s">
        <v>22</v>
      </c>
      <c r="D9" s="2">
        <v>14</v>
      </c>
      <c r="E9" s="2">
        <v>8.5</v>
      </c>
      <c r="F9" s="2">
        <v>7.5</v>
      </c>
      <c r="G9" s="2">
        <v>2</v>
      </c>
      <c r="H9" s="3">
        <f t="shared" ref="H9:H66" si="0">IF(ISBLANK(B9)," ",(D9+E9+F9*4)/6)</f>
        <v>8.75</v>
      </c>
      <c r="I9" s="4"/>
    </row>
    <row r="10" spans="1:9" ht="27" x14ac:dyDescent="0.85">
      <c r="A10" s="2">
        <v>3</v>
      </c>
      <c r="B10" s="10" t="s">
        <v>27</v>
      </c>
      <c r="C10" s="10" t="s">
        <v>22</v>
      </c>
      <c r="D10" s="2">
        <v>15</v>
      </c>
      <c r="E10" s="2">
        <v>11</v>
      </c>
      <c r="F10" s="2">
        <v>11</v>
      </c>
      <c r="G10" s="2">
        <v>2</v>
      </c>
      <c r="H10" s="3">
        <f t="shared" si="0"/>
        <v>11.666666666666666</v>
      </c>
      <c r="I10" s="4"/>
    </row>
    <row r="11" spans="1:9" ht="27" x14ac:dyDescent="0.85">
      <c r="A11" s="2">
        <v>4</v>
      </c>
      <c r="B11" s="10" t="s">
        <v>28</v>
      </c>
      <c r="C11" s="10" t="s">
        <v>22</v>
      </c>
      <c r="D11" s="2">
        <v>11</v>
      </c>
      <c r="E11" s="2">
        <v>10.5</v>
      </c>
      <c r="F11" s="2">
        <v>7.5</v>
      </c>
      <c r="G11" s="2">
        <v>2</v>
      </c>
      <c r="H11" s="3">
        <f t="shared" si="0"/>
        <v>8.5833333333333339</v>
      </c>
      <c r="I11" s="4"/>
    </row>
    <row r="12" spans="1:9" ht="27" x14ac:dyDescent="0.85">
      <c r="A12" s="2">
        <v>5</v>
      </c>
      <c r="B12" s="10" t="s">
        <v>29</v>
      </c>
      <c r="C12" s="10" t="s">
        <v>22</v>
      </c>
      <c r="D12" s="2">
        <v>14</v>
      </c>
      <c r="E12" s="2">
        <v>6.5</v>
      </c>
      <c r="F12" s="2">
        <v>10.5</v>
      </c>
      <c r="G12" s="2">
        <v>2</v>
      </c>
      <c r="H12" s="3">
        <f t="shared" si="0"/>
        <v>10.416666666666666</v>
      </c>
      <c r="I12" s="4"/>
    </row>
    <row r="13" spans="1:9" ht="27" x14ac:dyDescent="0.85">
      <c r="A13" s="2">
        <v>6</v>
      </c>
      <c r="B13" s="10" t="s">
        <v>30</v>
      </c>
      <c r="C13" s="10" t="s">
        <v>22</v>
      </c>
      <c r="D13" s="2">
        <v>16</v>
      </c>
      <c r="E13" s="2">
        <v>13</v>
      </c>
      <c r="F13" s="2">
        <v>10</v>
      </c>
      <c r="G13" s="2">
        <v>2</v>
      </c>
      <c r="H13" s="3">
        <f t="shared" si="0"/>
        <v>11.5</v>
      </c>
      <c r="I13" s="4"/>
    </row>
    <row r="14" spans="1:9" ht="27" x14ac:dyDescent="0.85">
      <c r="A14" s="2">
        <v>7</v>
      </c>
      <c r="B14" s="10" t="s">
        <v>31</v>
      </c>
      <c r="C14" s="10" t="s">
        <v>22</v>
      </c>
      <c r="D14" s="2">
        <v>17</v>
      </c>
      <c r="E14" s="2">
        <v>15.5</v>
      </c>
      <c r="F14" s="2">
        <v>15.5</v>
      </c>
      <c r="G14" s="2">
        <v>2</v>
      </c>
      <c r="H14" s="3">
        <f t="shared" si="0"/>
        <v>15.75</v>
      </c>
      <c r="I14" s="4"/>
    </row>
    <row r="15" spans="1:9" ht="27" x14ac:dyDescent="0.85">
      <c r="A15" s="2">
        <v>8</v>
      </c>
      <c r="B15" s="10" t="s">
        <v>32</v>
      </c>
      <c r="C15" s="10" t="s">
        <v>22</v>
      </c>
      <c r="D15" s="2">
        <v>18</v>
      </c>
      <c r="E15" s="2">
        <v>17.5</v>
      </c>
      <c r="F15" s="2">
        <v>15.5</v>
      </c>
      <c r="G15" s="2">
        <v>2</v>
      </c>
      <c r="H15" s="3">
        <f t="shared" si="0"/>
        <v>16.25</v>
      </c>
      <c r="I15" s="4"/>
    </row>
    <row r="16" spans="1:9" ht="27" x14ac:dyDescent="0.85">
      <c r="A16" s="2">
        <v>9</v>
      </c>
      <c r="B16" s="10" t="s">
        <v>33</v>
      </c>
      <c r="C16" s="10" t="s">
        <v>22</v>
      </c>
      <c r="D16" s="2">
        <v>17</v>
      </c>
      <c r="E16" s="2">
        <v>19</v>
      </c>
      <c r="F16" s="2">
        <v>19</v>
      </c>
      <c r="G16" s="2">
        <v>2</v>
      </c>
      <c r="H16" s="3">
        <f t="shared" si="0"/>
        <v>18.666666666666668</v>
      </c>
      <c r="I16" s="4"/>
    </row>
    <row r="17" spans="1:9" ht="27" x14ac:dyDescent="0.85">
      <c r="A17" s="2">
        <v>10</v>
      </c>
      <c r="B17" s="10" t="s">
        <v>34</v>
      </c>
      <c r="C17" s="10" t="s">
        <v>22</v>
      </c>
      <c r="D17" s="2">
        <v>14</v>
      </c>
      <c r="E17" s="2">
        <v>8.5</v>
      </c>
      <c r="F17" s="2">
        <v>4.5</v>
      </c>
      <c r="G17" s="2">
        <v>2</v>
      </c>
      <c r="H17" s="3">
        <f t="shared" si="0"/>
        <v>6.75</v>
      </c>
      <c r="I17" s="4"/>
    </row>
    <row r="18" spans="1:9" ht="27" x14ac:dyDescent="0.85">
      <c r="A18" s="2">
        <v>11</v>
      </c>
      <c r="B18" s="10" t="s">
        <v>35</v>
      </c>
      <c r="C18" s="10" t="s">
        <v>22</v>
      </c>
      <c r="D18" s="2">
        <v>15</v>
      </c>
      <c r="E18" s="2">
        <v>16.5</v>
      </c>
      <c r="F18" s="2">
        <v>14.5</v>
      </c>
      <c r="G18" s="2">
        <v>2</v>
      </c>
      <c r="H18" s="3">
        <f t="shared" si="0"/>
        <v>14.916666666666666</v>
      </c>
      <c r="I18" s="4"/>
    </row>
    <row r="19" spans="1:9" ht="27" x14ac:dyDescent="0.85">
      <c r="A19" s="2">
        <v>12</v>
      </c>
      <c r="B19" s="10" t="s">
        <v>36</v>
      </c>
      <c r="C19" s="10" t="s">
        <v>22</v>
      </c>
      <c r="D19" s="2">
        <v>16</v>
      </c>
      <c r="E19" s="2">
        <v>13.5</v>
      </c>
      <c r="F19" s="2">
        <v>12.5</v>
      </c>
      <c r="G19" s="2">
        <v>2</v>
      </c>
      <c r="H19" s="3">
        <f t="shared" si="0"/>
        <v>13.25</v>
      </c>
      <c r="I19" s="4"/>
    </row>
    <row r="20" spans="1:9" ht="27" x14ac:dyDescent="0.85">
      <c r="A20" s="2">
        <v>13</v>
      </c>
      <c r="B20" s="10" t="s">
        <v>37</v>
      </c>
      <c r="C20" s="10" t="s">
        <v>22</v>
      </c>
      <c r="D20" s="2">
        <v>16</v>
      </c>
      <c r="E20" s="2">
        <v>15</v>
      </c>
      <c r="F20" s="2">
        <v>14.5</v>
      </c>
      <c r="G20" s="2">
        <v>2</v>
      </c>
      <c r="H20" s="3">
        <f t="shared" si="0"/>
        <v>14.833333333333334</v>
      </c>
      <c r="I20" s="4"/>
    </row>
    <row r="21" spans="1:9" ht="27" x14ac:dyDescent="0.85">
      <c r="A21" s="2">
        <v>14</v>
      </c>
      <c r="B21" s="10" t="s">
        <v>38</v>
      </c>
      <c r="C21" s="10" t="s">
        <v>22</v>
      </c>
      <c r="D21" s="2">
        <v>16</v>
      </c>
      <c r="E21" s="2">
        <v>14.5</v>
      </c>
      <c r="F21" s="2">
        <v>14.5</v>
      </c>
      <c r="G21" s="2">
        <v>2</v>
      </c>
      <c r="H21" s="3">
        <f t="shared" si="0"/>
        <v>14.75</v>
      </c>
      <c r="I21" s="4"/>
    </row>
    <row r="22" spans="1:9" ht="27" x14ac:dyDescent="0.85">
      <c r="A22" s="2">
        <v>15</v>
      </c>
      <c r="B22" s="10" t="s">
        <v>39</v>
      </c>
      <c r="C22" s="10" t="s">
        <v>22</v>
      </c>
      <c r="D22" s="2">
        <v>15</v>
      </c>
      <c r="E22" s="2">
        <v>8</v>
      </c>
      <c r="F22" s="2">
        <v>13.5</v>
      </c>
      <c r="G22" s="2">
        <v>2</v>
      </c>
      <c r="H22" s="3">
        <f t="shared" si="0"/>
        <v>12.833333333333334</v>
      </c>
      <c r="I22" s="4"/>
    </row>
    <row r="23" spans="1:9" ht="27" x14ac:dyDescent="0.85">
      <c r="A23" s="2">
        <v>16</v>
      </c>
      <c r="B23" s="10" t="s">
        <v>40</v>
      </c>
      <c r="C23" s="10" t="s">
        <v>22</v>
      </c>
      <c r="D23" s="2">
        <v>15</v>
      </c>
      <c r="E23" s="2">
        <v>10</v>
      </c>
      <c r="F23" s="2">
        <v>8</v>
      </c>
      <c r="G23" s="2">
        <v>2</v>
      </c>
      <c r="H23" s="3">
        <f t="shared" si="0"/>
        <v>9.5</v>
      </c>
      <c r="I23" s="4"/>
    </row>
    <row r="24" spans="1:9" ht="27" x14ac:dyDescent="0.85">
      <c r="A24" s="2">
        <v>17</v>
      </c>
      <c r="B24" s="10" t="s">
        <v>41</v>
      </c>
      <c r="C24" s="10" t="s">
        <v>22</v>
      </c>
      <c r="D24" s="2">
        <v>16</v>
      </c>
      <c r="E24" s="2">
        <v>12</v>
      </c>
      <c r="F24" s="2">
        <v>14.5</v>
      </c>
      <c r="G24" s="2">
        <v>2</v>
      </c>
      <c r="H24" s="3">
        <f t="shared" si="0"/>
        <v>14.333333333333334</v>
      </c>
      <c r="I24" s="4"/>
    </row>
    <row r="25" spans="1:9" ht="27" x14ac:dyDescent="0.85">
      <c r="A25" s="2">
        <v>18</v>
      </c>
      <c r="B25" s="10" t="s">
        <v>42</v>
      </c>
      <c r="C25" s="10" t="s">
        <v>22</v>
      </c>
      <c r="D25" s="2">
        <v>15</v>
      </c>
      <c r="E25" s="2">
        <v>11.5</v>
      </c>
      <c r="F25" s="2">
        <v>13</v>
      </c>
      <c r="G25" s="2">
        <v>2</v>
      </c>
      <c r="H25" s="3">
        <f t="shared" si="0"/>
        <v>13.083333333333334</v>
      </c>
      <c r="I25" s="4"/>
    </row>
    <row r="26" spans="1:9" ht="27" x14ac:dyDescent="0.85">
      <c r="A26" s="2">
        <v>19</v>
      </c>
      <c r="B26" s="10" t="s">
        <v>43</v>
      </c>
      <c r="C26" s="10" t="s">
        <v>22</v>
      </c>
      <c r="D26" s="2">
        <v>16</v>
      </c>
      <c r="E26" s="2">
        <v>12.5</v>
      </c>
      <c r="F26" s="2">
        <v>11.5</v>
      </c>
      <c r="G26" s="2">
        <v>2</v>
      </c>
      <c r="H26" s="3">
        <f t="shared" si="0"/>
        <v>12.416666666666666</v>
      </c>
      <c r="I26" s="4"/>
    </row>
    <row r="27" spans="1:9" ht="27" x14ac:dyDescent="0.85">
      <c r="A27" s="2">
        <v>20</v>
      </c>
      <c r="B27" s="10" t="s">
        <v>44</v>
      </c>
      <c r="C27" s="10" t="s">
        <v>22</v>
      </c>
      <c r="D27" s="2">
        <v>13</v>
      </c>
      <c r="E27" s="2">
        <v>7.5</v>
      </c>
      <c r="F27" s="2">
        <v>6</v>
      </c>
      <c r="G27" s="2">
        <v>2</v>
      </c>
      <c r="H27" s="3">
        <f t="shared" si="0"/>
        <v>7.416666666666667</v>
      </c>
      <c r="I27" s="4"/>
    </row>
    <row r="28" spans="1:9" ht="27" x14ac:dyDescent="0.85">
      <c r="A28" s="2">
        <v>21</v>
      </c>
      <c r="B28" s="10" t="s">
        <v>45</v>
      </c>
      <c r="C28" s="10" t="s">
        <v>22</v>
      </c>
      <c r="D28" s="2">
        <v>16</v>
      </c>
      <c r="E28" s="2">
        <v>14.5</v>
      </c>
      <c r="F28" s="2">
        <v>10</v>
      </c>
      <c r="G28" s="2">
        <v>2</v>
      </c>
      <c r="H28" s="3">
        <f t="shared" si="0"/>
        <v>11.75</v>
      </c>
      <c r="I28" s="4"/>
    </row>
    <row r="29" spans="1:9" ht="27" x14ac:dyDescent="0.85">
      <c r="A29" s="2">
        <v>22</v>
      </c>
      <c r="B29" s="10" t="s">
        <v>46</v>
      </c>
      <c r="C29" s="10" t="s">
        <v>22</v>
      </c>
      <c r="D29" s="2">
        <v>13</v>
      </c>
      <c r="E29" s="2">
        <v>5.5</v>
      </c>
      <c r="F29" s="2">
        <v>10</v>
      </c>
      <c r="G29" s="2">
        <v>2</v>
      </c>
      <c r="H29" s="3">
        <f t="shared" si="0"/>
        <v>9.75</v>
      </c>
      <c r="I29" s="4"/>
    </row>
    <row r="30" spans="1:9" ht="27" x14ac:dyDescent="0.85">
      <c r="A30" s="2">
        <v>23</v>
      </c>
      <c r="B30" s="10" t="s">
        <v>47</v>
      </c>
      <c r="C30" s="10" t="s">
        <v>22</v>
      </c>
      <c r="D30" s="2">
        <v>18</v>
      </c>
      <c r="E30" s="2">
        <v>19.5</v>
      </c>
      <c r="F30" s="2">
        <v>19</v>
      </c>
      <c r="G30" s="2">
        <v>2</v>
      </c>
      <c r="H30" s="3">
        <f t="shared" si="0"/>
        <v>18.916666666666668</v>
      </c>
      <c r="I30" s="4"/>
    </row>
    <row r="31" spans="1:9" ht="27" x14ac:dyDescent="0.85">
      <c r="A31" s="2">
        <v>24</v>
      </c>
      <c r="B31" s="10" t="s">
        <v>48</v>
      </c>
      <c r="C31" s="10" t="s">
        <v>22</v>
      </c>
      <c r="D31" s="2">
        <v>15</v>
      </c>
      <c r="E31" s="2">
        <v>8.5</v>
      </c>
      <c r="F31" s="2">
        <v>7</v>
      </c>
      <c r="G31" s="2">
        <v>2</v>
      </c>
      <c r="H31" s="3">
        <f t="shared" si="0"/>
        <v>8.5833333333333339</v>
      </c>
      <c r="I31" s="4"/>
    </row>
    <row r="32" spans="1:9" ht="27" x14ac:dyDescent="0.85">
      <c r="A32" s="2">
        <v>25</v>
      </c>
      <c r="B32" s="10" t="s">
        <v>49</v>
      </c>
      <c r="C32" s="10" t="s">
        <v>22</v>
      </c>
      <c r="D32" s="2">
        <v>16</v>
      </c>
      <c r="E32" s="2">
        <v>13</v>
      </c>
      <c r="F32" s="2">
        <v>7.5</v>
      </c>
      <c r="G32" s="2">
        <v>2</v>
      </c>
      <c r="H32" s="3">
        <f t="shared" si="0"/>
        <v>9.8333333333333339</v>
      </c>
      <c r="I32" s="4"/>
    </row>
    <row r="33" spans="1:9" ht="27" x14ac:dyDescent="0.85">
      <c r="A33" s="2">
        <v>26</v>
      </c>
      <c r="B33" s="10" t="s">
        <v>50</v>
      </c>
      <c r="C33" s="10" t="s">
        <v>22</v>
      </c>
      <c r="D33" s="2">
        <v>16</v>
      </c>
      <c r="E33" s="2">
        <v>14</v>
      </c>
      <c r="F33" s="2">
        <v>11</v>
      </c>
      <c r="G33" s="2">
        <v>2</v>
      </c>
      <c r="H33" s="3">
        <f t="shared" si="0"/>
        <v>12.333333333333334</v>
      </c>
      <c r="I33" s="4"/>
    </row>
    <row r="34" spans="1:9" ht="27" x14ac:dyDescent="0.85">
      <c r="A34" s="2">
        <v>27</v>
      </c>
      <c r="B34" s="10" t="s">
        <v>51</v>
      </c>
      <c r="C34" s="10" t="s">
        <v>22</v>
      </c>
      <c r="D34" s="2">
        <v>15</v>
      </c>
      <c r="E34" s="2">
        <v>14.5</v>
      </c>
      <c r="F34" s="2">
        <v>11</v>
      </c>
      <c r="G34" s="2">
        <v>2</v>
      </c>
      <c r="H34" s="3">
        <f t="shared" si="0"/>
        <v>12.25</v>
      </c>
      <c r="I34" s="4"/>
    </row>
    <row r="35" spans="1:9" ht="27" x14ac:dyDescent="0.85">
      <c r="A35" s="2">
        <v>28</v>
      </c>
      <c r="B35" s="10" t="s">
        <v>52</v>
      </c>
      <c r="C35" s="10" t="s">
        <v>22</v>
      </c>
      <c r="D35" s="2">
        <v>16</v>
      </c>
      <c r="E35" s="2">
        <v>16</v>
      </c>
      <c r="F35" s="2">
        <v>13</v>
      </c>
      <c r="G35" s="2">
        <v>2</v>
      </c>
      <c r="H35" s="3">
        <f t="shared" si="0"/>
        <v>14</v>
      </c>
      <c r="I35" s="4"/>
    </row>
    <row r="36" spans="1:9" ht="27" x14ac:dyDescent="0.85">
      <c r="A36" s="2">
        <v>29</v>
      </c>
      <c r="B36" s="10" t="s">
        <v>53</v>
      </c>
      <c r="C36" s="10" t="s">
        <v>22</v>
      </c>
      <c r="D36" s="2">
        <v>16</v>
      </c>
      <c r="E36" s="2">
        <v>17</v>
      </c>
      <c r="F36" s="2">
        <v>17</v>
      </c>
      <c r="G36" s="2">
        <v>2</v>
      </c>
      <c r="H36" s="3">
        <f t="shared" si="0"/>
        <v>16.833333333333332</v>
      </c>
      <c r="I36" s="4"/>
    </row>
    <row r="37" spans="1:9" ht="27" x14ac:dyDescent="0.85">
      <c r="A37" s="2">
        <v>30</v>
      </c>
      <c r="B37" s="10" t="s">
        <v>54</v>
      </c>
      <c r="C37" s="10" t="s">
        <v>22</v>
      </c>
      <c r="D37" s="2">
        <v>13</v>
      </c>
      <c r="E37" s="2">
        <v>5</v>
      </c>
      <c r="F37" s="2">
        <v>2.5</v>
      </c>
      <c r="G37" s="2">
        <v>2</v>
      </c>
      <c r="H37" s="3">
        <f t="shared" si="0"/>
        <v>4.666666666666667</v>
      </c>
      <c r="I37" s="4"/>
    </row>
    <row r="38" spans="1:9" ht="27" x14ac:dyDescent="0.85">
      <c r="A38" s="2">
        <v>31</v>
      </c>
      <c r="B38" s="10" t="s">
        <v>55</v>
      </c>
      <c r="C38" s="10" t="s">
        <v>22</v>
      </c>
      <c r="D38" s="2">
        <v>18</v>
      </c>
      <c r="E38" s="2">
        <v>18.5</v>
      </c>
      <c r="F38" s="2">
        <v>18.5</v>
      </c>
      <c r="G38" s="2">
        <v>2</v>
      </c>
      <c r="H38" s="3">
        <f t="shared" si="0"/>
        <v>18.416666666666668</v>
      </c>
      <c r="I38" s="4"/>
    </row>
    <row r="39" spans="1:9" ht="27" x14ac:dyDescent="0.85">
      <c r="A39" s="2">
        <v>32</v>
      </c>
      <c r="B39" s="10" t="s">
        <v>56</v>
      </c>
      <c r="C39" s="10" t="s">
        <v>22</v>
      </c>
      <c r="D39" s="2">
        <v>13</v>
      </c>
      <c r="E39" s="2">
        <v>7.5</v>
      </c>
      <c r="F39" s="2">
        <v>4</v>
      </c>
      <c r="G39" s="2">
        <v>2</v>
      </c>
      <c r="H39" s="3">
        <f t="shared" si="0"/>
        <v>6.083333333333333</v>
      </c>
      <c r="I39" s="4"/>
    </row>
    <row r="40" spans="1:9" ht="27" x14ac:dyDescent="0.85">
      <c r="A40" s="2">
        <v>33</v>
      </c>
      <c r="B40" s="10" t="s">
        <v>57</v>
      </c>
      <c r="C40" s="10" t="s">
        <v>22</v>
      </c>
      <c r="D40" s="2">
        <v>17</v>
      </c>
      <c r="E40" s="2">
        <v>15.5</v>
      </c>
      <c r="F40" s="2">
        <v>14.5</v>
      </c>
      <c r="G40" s="2">
        <v>2</v>
      </c>
      <c r="H40" s="3">
        <f t="shared" si="0"/>
        <v>15.083333333333334</v>
      </c>
      <c r="I40" s="4"/>
    </row>
    <row r="41" spans="1:9" ht="27" x14ac:dyDescent="0.85">
      <c r="A41" s="2">
        <v>34</v>
      </c>
      <c r="B41" s="10" t="s">
        <v>58</v>
      </c>
      <c r="C41" s="10" t="s">
        <v>22</v>
      </c>
      <c r="D41" s="2">
        <v>15</v>
      </c>
      <c r="E41" s="2">
        <v>11</v>
      </c>
      <c r="F41" s="2">
        <v>12.5</v>
      </c>
      <c r="G41" s="2">
        <v>2</v>
      </c>
      <c r="H41" s="3">
        <f t="shared" si="0"/>
        <v>12.666666666666666</v>
      </c>
      <c r="I41" s="4"/>
    </row>
    <row r="42" spans="1:9" ht="27" x14ac:dyDescent="0.85">
      <c r="A42" s="2">
        <v>35</v>
      </c>
      <c r="B42" s="10" t="s">
        <v>59</v>
      </c>
      <c r="C42" s="10" t="s">
        <v>22</v>
      </c>
      <c r="D42" s="2">
        <v>15</v>
      </c>
      <c r="E42" s="2">
        <v>11.5</v>
      </c>
      <c r="F42" s="2">
        <v>5</v>
      </c>
      <c r="G42" s="2">
        <v>2</v>
      </c>
      <c r="H42" s="3">
        <f t="shared" si="0"/>
        <v>7.75</v>
      </c>
      <c r="I42" s="4"/>
    </row>
    <row r="43" spans="1:9" ht="27" x14ac:dyDescent="0.85">
      <c r="A43" s="2">
        <v>36</v>
      </c>
      <c r="B43" s="10" t="s">
        <v>60</v>
      </c>
      <c r="C43" s="10" t="s">
        <v>22</v>
      </c>
      <c r="D43" s="2">
        <v>14</v>
      </c>
      <c r="E43" s="2">
        <v>4</v>
      </c>
      <c r="F43" s="2">
        <v>10.5</v>
      </c>
      <c r="G43" s="2">
        <v>2</v>
      </c>
      <c r="H43" s="3">
        <f t="shared" si="0"/>
        <v>10</v>
      </c>
      <c r="I43" s="4"/>
    </row>
    <row r="44" spans="1:9" ht="27" x14ac:dyDescent="0.85">
      <c r="A44" s="2">
        <v>37</v>
      </c>
      <c r="B44" s="10" t="s">
        <v>61</v>
      </c>
      <c r="C44" s="10" t="s">
        <v>22</v>
      </c>
      <c r="D44" s="2">
        <v>14</v>
      </c>
      <c r="E44" s="2">
        <v>5.5</v>
      </c>
      <c r="F44" s="2">
        <v>6</v>
      </c>
      <c r="G44" s="2">
        <v>2</v>
      </c>
      <c r="H44" s="3">
        <f t="shared" si="0"/>
        <v>7.25</v>
      </c>
      <c r="I44" s="4"/>
    </row>
    <row r="45" spans="1:9" ht="27" x14ac:dyDescent="0.85">
      <c r="A45" s="2">
        <v>38</v>
      </c>
      <c r="B45" s="10" t="s">
        <v>62</v>
      </c>
      <c r="C45" s="10" t="s">
        <v>22</v>
      </c>
      <c r="D45" s="2">
        <v>16</v>
      </c>
      <c r="E45" s="2">
        <v>9</v>
      </c>
      <c r="F45" s="2">
        <v>7</v>
      </c>
      <c r="G45" s="2">
        <v>2</v>
      </c>
      <c r="H45" s="3">
        <f t="shared" si="0"/>
        <v>8.8333333333333339</v>
      </c>
      <c r="I45" s="4"/>
    </row>
    <row r="46" spans="1:9" ht="27" x14ac:dyDescent="0.85">
      <c r="A46" s="2">
        <v>39</v>
      </c>
      <c r="B46" s="10" t="s">
        <v>63</v>
      </c>
      <c r="C46" s="10" t="s">
        <v>22</v>
      </c>
      <c r="D46" s="2">
        <v>15</v>
      </c>
      <c r="E46" s="2">
        <v>10.5</v>
      </c>
      <c r="F46" s="2">
        <v>7.5</v>
      </c>
      <c r="G46" s="2">
        <v>2</v>
      </c>
      <c r="H46" s="3">
        <f t="shared" si="0"/>
        <v>9.25</v>
      </c>
      <c r="I46" s="4"/>
    </row>
    <row r="47" spans="1:9" ht="27" x14ac:dyDescent="0.85">
      <c r="A47" s="2">
        <v>40</v>
      </c>
      <c r="B47" s="10" t="s">
        <v>64</v>
      </c>
      <c r="C47" s="10" t="s">
        <v>22</v>
      </c>
      <c r="D47" s="2">
        <v>17</v>
      </c>
      <c r="E47" s="2">
        <v>11.5</v>
      </c>
      <c r="F47" s="2">
        <v>11.5</v>
      </c>
      <c r="G47" s="2">
        <v>2</v>
      </c>
      <c r="H47" s="3">
        <f t="shared" si="0"/>
        <v>12.416666666666666</v>
      </c>
      <c r="I47" s="4"/>
    </row>
    <row r="48" spans="1:9" ht="27" x14ac:dyDescent="0.85">
      <c r="A48" s="2">
        <v>41</v>
      </c>
      <c r="B48" s="10" t="s">
        <v>65</v>
      </c>
      <c r="C48" s="10" t="s">
        <v>22</v>
      </c>
      <c r="D48" s="2">
        <v>15</v>
      </c>
      <c r="E48" s="2">
        <v>6</v>
      </c>
      <c r="F48" s="2">
        <v>7.5</v>
      </c>
      <c r="G48" s="2">
        <v>2</v>
      </c>
      <c r="H48" s="3">
        <f t="shared" si="0"/>
        <v>8.5</v>
      </c>
      <c r="I48" s="4"/>
    </row>
    <row r="49" spans="1:9" ht="27" x14ac:dyDescent="0.85">
      <c r="A49" s="2">
        <v>42</v>
      </c>
      <c r="B49" s="10" t="s">
        <v>66</v>
      </c>
      <c r="C49" s="10" t="s">
        <v>22</v>
      </c>
      <c r="D49" s="2">
        <v>18</v>
      </c>
      <c r="E49" s="2">
        <v>18</v>
      </c>
      <c r="F49" s="2">
        <v>17.5</v>
      </c>
      <c r="G49" s="2">
        <v>2</v>
      </c>
      <c r="H49" s="3">
        <f t="shared" si="0"/>
        <v>17.666666666666668</v>
      </c>
      <c r="I49" s="4"/>
    </row>
    <row r="50" spans="1:9" ht="27" x14ac:dyDescent="0.85">
      <c r="A50" s="2">
        <v>43</v>
      </c>
      <c r="B50" s="10" t="s">
        <v>67</v>
      </c>
      <c r="C50" s="10" t="s">
        <v>22</v>
      </c>
      <c r="D50" s="2">
        <v>18</v>
      </c>
      <c r="E50" s="2">
        <v>20</v>
      </c>
      <c r="F50" s="2">
        <v>17</v>
      </c>
      <c r="G50" s="2">
        <v>2</v>
      </c>
      <c r="H50" s="3">
        <f t="shared" si="0"/>
        <v>17.666666666666668</v>
      </c>
      <c r="I50" s="4"/>
    </row>
    <row r="51" spans="1:9" ht="27" x14ac:dyDescent="0.85">
      <c r="A51" s="2">
        <v>44</v>
      </c>
      <c r="B51" s="10"/>
      <c r="C51" s="10"/>
      <c r="D51" s="2"/>
      <c r="E51" s="2"/>
      <c r="F51" s="2"/>
      <c r="G51" s="2">
        <v>2</v>
      </c>
      <c r="H51" s="3" t="str">
        <f t="shared" si="0"/>
        <v xml:space="preserve"> </v>
      </c>
      <c r="I51" s="4"/>
    </row>
    <row r="52" spans="1:9" ht="27" x14ac:dyDescent="0.85">
      <c r="A52" s="2">
        <v>45</v>
      </c>
      <c r="B52" s="10"/>
      <c r="C52" s="10"/>
      <c r="D52" s="2"/>
      <c r="E52" s="2"/>
      <c r="F52" s="2"/>
      <c r="G52" s="2">
        <v>2</v>
      </c>
      <c r="H52" s="3" t="str">
        <f t="shared" si="0"/>
        <v xml:space="preserve"> </v>
      </c>
      <c r="I52" s="4"/>
    </row>
    <row r="53" spans="1:9" ht="27" x14ac:dyDescent="0.85">
      <c r="A53" s="2">
        <v>46</v>
      </c>
      <c r="B53" s="10"/>
      <c r="C53" s="10"/>
      <c r="D53" s="2"/>
      <c r="E53" s="2"/>
      <c r="F53" s="2"/>
      <c r="G53" s="2">
        <v>2</v>
      </c>
      <c r="H53" s="3" t="str">
        <f t="shared" si="0"/>
        <v xml:space="preserve"> </v>
      </c>
      <c r="I53" s="4"/>
    </row>
    <row r="54" spans="1:9" ht="27" x14ac:dyDescent="0.85">
      <c r="A54" s="2">
        <v>47</v>
      </c>
      <c r="B54" s="10"/>
      <c r="C54" s="10"/>
      <c r="D54" s="2"/>
      <c r="E54" s="2"/>
      <c r="F54" s="2"/>
      <c r="G54" s="2">
        <v>2</v>
      </c>
      <c r="H54" s="3" t="str">
        <f t="shared" si="0"/>
        <v xml:space="preserve"> </v>
      </c>
      <c r="I54" s="4"/>
    </row>
    <row r="55" spans="1:9" ht="27" x14ac:dyDescent="0.85">
      <c r="A55" s="2">
        <v>48</v>
      </c>
      <c r="B55" s="10"/>
      <c r="C55" s="10"/>
      <c r="D55" s="2"/>
      <c r="E55" s="2"/>
      <c r="F55" s="2"/>
      <c r="G55" s="2">
        <v>2</v>
      </c>
      <c r="H55" s="3" t="str">
        <f t="shared" si="0"/>
        <v xml:space="preserve"> </v>
      </c>
      <c r="I55" s="4"/>
    </row>
    <row r="56" spans="1:9" ht="27" x14ac:dyDescent="0.85">
      <c r="A56" s="2">
        <v>49</v>
      </c>
      <c r="B56" s="10"/>
      <c r="C56" s="10"/>
      <c r="D56" s="2"/>
      <c r="E56" s="2"/>
      <c r="F56" s="2"/>
      <c r="G56" s="2">
        <v>2</v>
      </c>
      <c r="H56" s="3" t="str">
        <f t="shared" si="0"/>
        <v xml:space="preserve"> </v>
      </c>
      <c r="I56" s="4"/>
    </row>
    <row r="57" spans="1:9" ht="27" x14ac:dyDescent="0.85">
      <c r="A57" s="2">
        <v>50</v>
      </c>
      <c r="B57" s="10"/>
      <c r="C57" s="10"/>
      <c r="D57" s="2"/>
      <c r="E57" s="2"/>
      <c r="F57" s="2"/>
      <c r="G57" s="2">
        <v>2</v>
      </c>
      <c r="H57" s="3" t="str">
        <f t="shared" si="0"/>
        <v xml:space="preserve"> </v>
      </c>
      <c r="I57" s="4"/>
    </row>
    <row r="58" spans="1:9" ht="27" x14ac:dyDescent="0.85">
      <c r="A58" s="2">
        <v>51</v>
      </c>
      <c r="B58" s="10"/>
      <c r="C58" s="10"/>
      <c r="D58" s="2"/>
      <c r="E58" s="2"/>
      <c r="F58" s="2"/>
      <c r="G58" s="2">
        <v>2</v>
      </c>
      <c r="H58" s="3" t="str">
        <f t="shared" si="0"/>
        <v xml:space="preserve"> </v>
      </c>
      <c r="I58" s="4"/>
    </row>
    <row r="59" spans="1:9" ht="27" x14ac:dyDescent="0.85">
      <c r="A59" s="2">
        <v>52</v>
      </c>
      <c r="B59" s="10"/>
      <c r="C59" s="10"/>
      <c r="D59" s="2"/>
      <c r="E59" s="2"/>
      <c r="F59" s="2"/>
      <c r="G59" s="2">
        <v>2</v>
      </c>
      <c r="H59" s="3" t="str">
        <f t="shared" si="0"/>
        <v xml:space="preserve"> </v>
      </c>
      <c r="I59" s="4"/>
    </row>
    <row r="60" spans="1:9" ht="27" x14ac:dyDescent="0.85">
      <c r="A60" s="2">
        <v>53</v>
      </c>
      <c r="B60" s="10"/>
      <c r="C60" s="10"/>
      <c r="D60" s="2"/>
      <c r="E60" s="2"/>
      <c r="F60" s="2"/>
      <c r="G60" s="2">
        <v>2</v>
      </c>
      <c r="H60" s="3" t="str">
        <f t="shared" si="0"/>
        <v xml:space="preserve"> </v>
      </c>
      <c r="I60" s="4"/>
    </row>
    <row r="61" spans="1:9" ht="27" x14ac:dyDescent="0.85">
      <c r="A61" s="2">
        <v>54</v>
      </c>
      <c r="B61" s="10"/>
      <c r="C61" s="10"/>
      <c r="D61" s="2"/>
      <c r="E61" s="2"/>
      <c r="F61" s="2"/>
      <c r="G61" s="2">
        <v>2</v>
      </c>
      <c r="H61" s="3" t="str">
        <f t="shared" si="0"/>
        <v xml:space="preserve"> </v>
      </c>
      <c r="I61" s="4"/>
    </row>
    <row r="62" spans="1:9" ht="27" x14ac:dyDescent="0.85">
      <c r="A62" s="2">
        <v>55</v>
      </c>
      <c r="B62" s="10"/>
      <c r="C62" s="10"/>
      <c r="D62" s="2"/>
      <c r="E62" s="2"/>
      <c r="F62" s="2"/>
      <c r="G62" s="2">
        <v>2</v>
      </c>
      <c r="H62" s="3" t="str">
        <f t="shared" si="0"/>
        <v xml:space="preserve"> </v>
      </c>
      <c r="I62" s="4"/>
    </row>
    <row r="63" spans="1:9" ht="27" x14ac:dyDescent="0.85">
      <c r="A63" s="2">
        <v>56</v>
      </c>
      <c r="B63" s="10"/>
      <c r="C63" s="10"/>
      <c r="D63" s="2"/>
      <c r="E63" s="2"/>
      <c r="F63" s="2"/>
      <c r="G63" s="2">
        <v>2</v>
      </c>
      <c r="H63" s="3" t="str">
        <f t="shared" si="0"/>
        <v xml:space="preserve"> </v>
      </c>
      <c r="I63" s="4"/>
    </row>
    <row r="64" spans="1:9" ht="27" x14ac:dyDescent="0.85">
      <c r="A64" s="2">
        <v>57</v>
      </c>
      <c r="B64" s="10"/>
      <c r="C64" s="10"/>
      <c r="D64" s="2"/>
      <c r="E64" s="2"/>
      <c r="F64" s="2"/>
      <c r="G64" s="2">
        <v>2</v>
      </c>
      <c r="H64" s="3" t="str">
        <f t="shared" si="0"/>
        <v xml:space="preserve"> </v>
      </c>
      <c r="I64" s="4"/>
    </row>
    <row r="65" spans="1:9" ht="27" x14ac:dyDescent="0.85">
      <c r="A65" s="2">
        <v>58</v>
      </c>
      <c r="B65" s="10"/>
      <c r="C65" s="10"/>
      <c r="D65" s="2"/>
      <c r="E65" s="2"/>
      <c r="F65" s="2"/>
      <c r="G65" s="2">
        <v>2</v>
      </c>
      <c r="H65" s="3" t="str">
        <f t="shared" si="0"/>
        <v xml:space="preserve"> </v>
      </c>
      <c r="I65" s="4"/>
    </row>
    <row r="66" spans="1:9" ht="27" x14ac:dyDescent="0.85">
      <c r="A66" s="2">
        <v>59</v>
      </c>
      <c r="B66" s="10"/>
      <c r="C66" s="10"/>
      <c r="D66" s="2"/>
      <c r="E66" s="2"/>
      <c r="F66" s="2"/>
      <c r="G66" s="2">
        <v>2</v>
      </c>
      <c r="H66" s="3" t="str">
        <f t="shared" si="0"/>
        <v xml:space="preserve"> </v>
      </c>
      <c r="I66" s="4"/>
    </row>
    <row r="68" spans="1:9" ht="27" x14ac:dyDescent="0.3">
      <c r="B68" s="21" t="s">
        <v>7</v>
      </c>
      <c r="C68" s="22"/>
      <c r="D68" s="5">
        <f>COUNTA(B8:B66)</f>
        <v>43</v>
      </c>
      <c r="E68" s="5"/>
      <c r="G68" s="7"/>
      <c r="H68" s="8"/>
    </row>
    <row r="69" spans="1:9" ht="27" x14ac:dyDescent="0.3">
      <c r="B69" s="21" t="s">
        <v>8</v>
      </c>
      <c r="C69" s="22"/>
      <c r="D69" s="5">
        <f>COUNTIF(H8:H66,"&gt;=10")</f>
        <v>27</v>
      </c>
      <c r="E69" s="6">
        <f>D69/D68</f>
        <v>0.62790697674418605</v>
      </c>
    </row>
    <row r="70" spans="1:9" ht="27" x14ac:dyDescent="0.3">
      <c r="B70" s="21" t="s">
        <v>9</v>
      </c>
      <c r="C70" s="22"/>
      <c r="D70" s="5">
        <f>COUNTIF(H8:H66,"&lt;10")</f>
        <v>16</v>
      </c>
      <c r="E70" s="6">
        <f>D70/D68</f>
        <v>0.37209302325581395</v>
      </c>
    </row>
    <row r="71" spans="1:9" ht="27" x14ac:dyDescent="0.3">
      <c r="B71" s="21" t="s">
        <v>5</v>
      </c>
      <c r="C71" s="22"/>
      <c r="D71" s="23">
        <f>AVERAGE(H8:H66)</f>
        <v>11.84108527131783</v>
      </c>
      <c r="E71" s="24"/>
    </row>
  </sheetData>
  <mergeCells count="7">
    <mergeCell ref="B71:C71"/>
    <mergeCell ref="D71:E71"/>
    <mergeCell ref="A1:I1"/>
    <mergeCell ref="C2:G4"/>
    <mergeCell ref="B68:C68"/>
    <mergeCell ref="B69:C69"/>
    <mergeCell ref="B70:C70"/>
  </mergeCells>
  <phoneticPr fontId="11" type="noConversion"/>
  <conditionalFormatting sqref="H8:H66">
    <cfRule type="cellIs" dxfId="4" priority="1" operator="greaterThan">
      <formula>9.99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CD2E-70D1-4B0A-9C4A-32BB3058F214}">
  <dimension ref="A1:I71"/>
  <sheetViews>
    <sheetView rightToLeft="1" zoomScale="85" zoomScaleNormal="85" workbookViewId="0">
      <selection activeCell="B5" sqref="B5"/>
    </sheetView>
  </sheetViews>
  <sheetFormatPr defaultRowHeight="14.4" x14ac:dyDescent="0.3"/>
  <cols>
    <col min="1" max="1" width="4.6640625" customWidth="1"/>
    <col min="2" max="3" width="16.21875" customWidth="1"/>
    <col min="4" max="4" width="9" bestFit="1" customWidth="1"/>
    <col min="5" max="5" width="11.33203125" bestFit="1" customWidth="1"/>
    <col min="8" max="8" width="12.88671875" style="1" customWidth="1"/>
    <col min="9" max="9" width="16.21875" customWidth="1"/>
  </cols>
  <sheetData>
    <row r="1" spans="1:9" ht="27" x14ac:dyDescent="0.85">
      <c r="A1" s="25" t="s">
        <v>69</v>
      </c>
      <c r="B1" s="25"/>
      <c r="C1" s="25"/>
      <c r="D1" s="25"/>
      <c r="E1" s="25"/>
      <c r="F1" s="25"/>
      <c r="G1" s="25"/>
      <c r="H1" s="25"/>
      <c r="I1" s="25"/>
    </row>
    <row r="2" spans="1:9" ht="21" customHeight="1" x14ac:dyDescent="0.3">
      <c r="C2" s="26" t="s">
        <v>12</v>
      </c>
      <c r="D2" s="26"/>
      <c r="E2" s="26"/>
      <c r="F2" s="26"/>
      <c r="G2" s="26"/>
      <c r="I2" s="12" t="s">
        <v>24</v>
      </c>
    </row>
    <row r="3" spans="1:9" ht="14.4" customHeight="1" x14ac:dyDescent="0.3">
      <c r="C3" s="26"/>
      <c r="D3" s="26"/>
      <c r="E3" s="26"/>
      <c r="F3" s="26"/>
      <c r="G3" s="26"/>
      <c r="I3" s="14"/>
    </row>
    <row r="4" spans="1:9" x14ac:dyDescent="0.3">
      <c r="C4" s="26"/>
      <c r="D4" s="26"/>
      <c r="E4" s="26"/>
      <c r="F4" s="26"/>
      <c r="G4" s="26"/>
    </row>
    <row r="5" spans="1:9" ht="15.6" x14ac:dyDescent="0.3">
      <c r="B5" s="11" t="s">
        <v>75</v>
      </c>
    </row>
    <row r="6" spans="1:9" ht="15.6" x14ac:dyDescent="0.3">
      <c r="B6" s="11" t="s">
        <v>13</v>
      </c>
    </row>
    <row r="7" spans="1:9" s="1" customFormat="1" ht="27" x14ac:dyDescent="0.85">
      <c r="A7" s="9" t="s">
        <v>0</v>
      </c>
      <c r="B7" s="9" t="s">
        <v>10</v>
      </c>
      <c r="C7" s="9" t="s">
        <v>11</v>
      </c>
      <c r="D7" s="9" t="s">
        <v>1</v>
      </c>
      <c r="E7" s="9" t="s">
        <v>2</v>
      </c>
      <c r="F7" s="9" t="s">
        <v>3</v>
      </c>
      <c r="G7" s="9" t="s">
        <v>4</v>
      </c>
      <c r="H7" s="9" t="s">
        <v>5</v>
      </c>
      <c r="I7" s="9" t="s">
        <v>6</v>
      </c>
    </row>
    <row r="8" spans="1:9" ht="27" x14ac:dyDescent="0.85">
      <c r="A8" s="2">
        <v>1</v>
      </c>
      <c r="B8" s="10" t="s">
        <v>25</v>
      </c>
      <c r="C8" s="10" t="s">
        <v>22</v>
      </c>
      <c r="D8" s="2">
        <v>16</v>
      </c>
      <c r="E8" s="2">
        <v>5.5</v>
      </c>
      <c r="F8" s="2">
        <v>13</v>
      </c>
      <c r="G8" s="2">
        <v>2</v>
      </c>
      <c r="H8" s="3">
        <f>IF(ISBLANK(B8)," ",(D8+E8+F8*4)/6)</f>
        <v>12.25</v>
      </c>
      <c r="I8" s="4"/>
    </row>
    <row r="9" spans="1:9" ht="27" x14ac:dyDescent="0.85">
      <c r="A9" s="2">
        <v>2</v>
      </c>
      <c r="B9" s="10" t="s">
        <v>26</v>
      </c>
      <c r="C9" s="10" t="s">
        <v>22</v>
      </c>
      <c r="D9" s="2">
        <v>14</v>
      </c>
      <c r="E9" s="2">
        <v>8.5</v>
      </c>
      <c r="F9" s="2">
        <v>11</v>
      </c>
      <c r="G9" s="2">
        <v>2</v>
      </c>
      <c r="H9" s="3">
        <f t="shared" ref="H9:H66" si="0">IF(ISBLANK(B9)," ",(D9+E9+F9*4)/6)</f>
        <v>11.083333333333334</v>
      </c>
      <c r="I9" s="4"/>
    </row>
    <row r="10" spans="1:9" ht="27" x14ac:dyDescent="0.85">
      <c r="A10" s="2">
        <v>3</v>
      </c>
      <c r="B10" s="10" t="s">
        <v>27</v>
      </c>
      <c r="C10" s="10" t="s">
        <v>22</v>
      </c>
      <c r="D10" s="2">
        <v>13</v>
      </c>
      <c r="E10" s="2">
        <v>11</v>
      </c>
      <c r="F10" s="2">
        <v>11</v>
      </c>
      <c r="G10" s="2">
        <v>2</v>
      </c>
      <c r="H10" s="3">
        <f t="shared" si="0"/>
        <v>11.333333333333334</v>
      </c>
      <c r="I10" s="4"/>
    </row>
    <row r="11" spans="1:9" ht="27" x14ac:dyDescent="0.85">
      <c r="A11" s="2">
        <v>4</v>
      </c>
      <c r="B11" s="10" t="s">
        <v>28</v>
      </c>
      <c r="C11" s="10" t="s">
        <v>22</v>
      </c>
      <c r="D11" s="2">
        <v>16</v>
      </c>
      <c r="E11" s="2">
        <v>9.5</v>
      </c>
      <c r="F11" s="2">
        <v>14.5</v>
      </c>
      <c r="G11" s="2">
        <v>2</v>
      </c>
      <c r="H11" s="3">
        <f t="shared" si="0"/>
        <v>13.916666666666666</v>
      </c>
      <c r="I11" s="4"/>
    </row>
    <row r="12" spans="1:9" ht="27" x14ac:dyDescent="0.85">
      <c r="A12" s="2">
        <v>5</v>
      </c>
      <c r="B12" s="10" t="s">
        <v>29</v>
      </c>
      <c r="C12" s="10" t="s">
        <v>22</v>
      </c>
      <c r="D12" s="2">
        <v>14</v>
      </c>
      <c r="E12" s="2">
        <v>14</v>
      </c>
      <c r="F12" s="2">
        <v>14</v>
      </c>
      <c r="G12" s="2">
        <v>2</v>
      </c>
      <c r="H12" s="3">
        <f t="shared" si="0"/>
        <v>14</v>
      </c>
      <c r="I12" s="4"/>
    </row>
    <row r="13" spans="1:9" ht="27" x14ac:dyDescent="0.85">
      <c r="A13" s="2">
        <v>6</v>
      </c>
      <c r="B13" s="10" t="s">
        <v>30</v>
      </c>
      <c r="C13" s="10" t="s">
        <v>22</v>
      </c>
      <c r="D13" s="2">
        <v>15</v>
      </c>
      <c r="E13" s="2">
        <v>8.5</v>
      </c>
      <c r="F13" s="2">
        <v>6.5</v>
      </c>
      <c r="G13" s="2">
        <v>2</v>
      </c>
      <c r="H13" s="3">
        <f t="shared" si="0"/>
        <v>8.25</v>
      </c>
      <c r="I13" s="4"/>
    </row>
    <row r="14" spans="1:9" ht="27" x14ac:dyDescent="0.85">
      <c r="A14" s="2">
        <v>7</v>
      </c>
      <c r="B14" s="10" t="s">
        <v>31</v>
      </c>
      <c r="C14" s="10" t="s">
        <v>22</v>
      </c>
      <c r="D14" s="2">
        <v>16</v>
      </c>
      <c r="E14" s="2">
        <v>12.5</v>
      </c>
      <c r="F14" s="2">
        <v>15</v>
      </c>
      <c r="G14" s="2">
        <v>2</v>
      </c>
      <c r="H14" s="3">
        <f t="shared" si="0"/>
        <v>14.75</v>
      </c>
      <c r="I14" s="4"/>
    </row>
    <row r="15" spans="1:9" ht="27" x14ac:dyDescent="0.85">
      <c r="A15" s="2">
        <v>8</v>
      </c>
      <c r="B15" s="10" t="s">
        <v>32</v>
      </c>
      <c r="C15" s="10" t="s">
        <v>22</v>
      </c>
      <c r="D15" s="2">
        <v>16</v>
      </c>
      <c r="E15" s="2">
        <v>7.5</v>
      </c>
      <c r="F15" s="2">
        <v>12</v>
      </c>
      <c r="G15" s="2">
        <v>2</v>
      </c>
      <c r="H15" s="3">
        <f t="shared" si="0"/>
        <v>11.916666666666666</v>
      </c>
      <c r="I15" s="4"/>
    </row>
    <row r="16" spans="1:9" ht="27" x14ac:dyDescent="0.85">
      <c r="A16" s="2">
        <v>9</v>
      </c>
      <c r="B16" s="10" t="s">
        <v>33</v>
      </c>
      <c r="C16" s="10" t="s">
        <v>22</v>
      </c>
      <c r="D16" s="2">
        <v>15</v>
      </c>
      <c r="E16" s="2">
        <v>10</v>
      </c>
      <c r="F16" s="2">
        <v>9</v>
      </c>
      <c r="G16" s="2">
        <v>2</v>
      </c>
      <c r="H16" s="3">
        <f t="shared" si="0"/>
        <v>10.166666666666666</v>
      </c>
      <c r="I16" s="4"/>
    </row>
    <row r="17" spans="1:9" ht="27" x14ac:dyDescent="0.85">
      <c r="A17" s="2">
        <v>10</v>
      </c>
      <c r="B17" s="10" t="s">
        <v>34</v>
      </c>
      <c r="C17" s="10" t="s">
        <v>22</v>
      </c>
      <c r="D17" s="2">
        <v>17</v>
      </c>
      <c r="E17" s="2">
        <v>13</v>
      </c>
      <c r="F17" s="2">
        <v>15</v>
      </c>
      <c r="G17" s="2">
        <v>2</v>
      </c>
      <c r="H17" s="3">
        <f t="shared" si="0"/>
        <v>15</v>
      </c>
      <c r="I17" s="4"/>
    </row>
    <row r="18" spans="1:9" ht="27" x14ac:dyDescent="0.85">
      <c r="A18" s="2">
        <v>11</v>
      </c>
      <c r="B18" s="10" t="s">
        <v>35</v>
      </c>
      <c r="C18" s="10" t="s">
        <v>22</v>
      </c>
      <c r="D18" s="2">
        <v>15</v>
      </c>
      <c r="E18" s="2">
        <v>11</v>
      </c>
      <c r="F18" s="2">
        <v>6</v>
      </c>
      <c r="G18" s="2">
        <v>2</v>
      </c>
      <c r="H18" s="3">
        <f t="shared" si="0"/>
        <v>8.3333333333333339</v>
      </c>
      <c r="I18" s="4"/>
    </row>
    <row r="19" spans="1:9" ht="27" x14ac:dyDescent="0.85">
      <c r="A19" s="2">
        <v>12</v>
      </c>
      <c r="B19" s="10" t="s">
        <v>36</v>
      </c>
      <c r="C19" s="10" t="s">
        <v>22</v>
      </c>
      <c r="D19" s="2">
        <v>14</v>
      </c>
      <c r="E19" s="2">
        <v>5</v>
      </c>
      <c r="F19" s="2">
        <v>7.5</v>
      </c>
      <c r="G19" s="2">
        <v>2</v>
      </c>
      <c r="H19" s="3">
        <f t="shared" si="0"/>
        <v>8.1666666666666661</v>
      </c>
      <c r="I19" s="4"/>
    </row>
    <row r="20" spans="1:9" ht="27" x14ac:dyDescent="0.85">
      <c r="A20" s="2">
        <v>13</v>
      </c>
      <c r="B20" s="10" t="s">
        <v>37</v>
      </c>
      <c r="C20" s="10" t="s">
        <v>22</v>
      </c>
      <c r="D20" s="2">
        <v>15</v>
      </c>
      <c r="E20" s="2">
        <v>10</v>
      </c>
      <c r="F20" s="2">
        <v>12.5</v>
      </c>
      <c r="G20" s="2">
        <v>2</v>
      </c>
      <c r="H20" s="3">
        <f t="shared" si="0"/>
        <v>12.5</v>
      </c>
      <c r="I20" s="4"/>
    </row>
    <row r="21" spans="1:9" ht="27" x14ac:dyDescent="0.85">
      <c r="A21" s="2">
        <v>14</v>
      </c>
      <c r="B21" s="10" t="s">
        <v>38</v>
      </c>
      <c r="C21" s="10" t="s">
        <v>22</v>
      </c>
      <c r="D21" s="2">
        <v>15</v>
      </c>
      <c r="E21" s="2">
        <v>6</v>
      </c>
      <c r="F21" s="2">
        <v>13</v>
      </c>
      <c r="G21" s="2">
        <v>2</v>
      </c>
      <c r="H21" s="3">
        <f t="shared" si="0"/>
        <v>12.166666666666666</v>
      </c>
      <c r="I21" s="4"/>
    </row>
    <row r="22" spans="1:9" ht="27" x14ac:dyDescent="0.85">
      <c r="A22" s="2">
        <v>15</v>
      </c>
      <c r="B22" s="10" t="s">
        <v>39</v>
      </c>
      <c r="C22" s="10" t="s">
        <v>22</v>
      </c>
      <c r="D22" s="2">
        <v>16</v>
      </c>
      <c r="E22" s="2">
        <v>10.5</v>
      </c>
      <c r="F22" s="2">
        <v>7.5</v>
      </c>
      <c r="G22" s="2">
        <v>2</v>
      </c>
      <c r="H22" s="3">
        <f t="shared" si="0"/>
        <v>9.4166666666666661</v>
      </c>
      <c r="I22" s="4"/>
    </row>
    <row r="23" spans="1:9" ht="27" x14ac:dyDescent="0.85">
      <c r="A23" s="2">
        <v>16</v>
      </c>
      <c r="B23" s="10" t="s">
        <v>40</v>
      </c>
      <c r="C23" s="10" t="s">
        <v>22</v>
      </c>
      <c r="D23" s="2">
        <v>16</v>
      </c>
      <c r="E23" s="2">
        <v>16.5</v>
      </c>
      <c r="F23" s="2">
        <v>14</v>
      </c>
      <c r="G23" s="2">
        <v>2</v>
      </c>
      <c r="H23" s="3">
        <f t="shared" si="0"/>
        <v>14.75</v>
      </c>
      <c r="I23" s="4"/>
    </row>
    <row r="24" spans="1:9" ht="27" x14ac:dyDescent="0.85">
      <c r="A24" s="2">
        <v>17</v>
      </c>
      <c r="B24" s="10" t="s">
        <v>41</v>
      </c>
      <c r="C24" s="10" t="s">
        <v>22</v>
      </c>
      <c r="D24" s="2">
        <v>17</v>
      </c>
      <c r="E24" s="2">
        <v>17.5</v>
      </c>
      <c r="F24" s="2">
        <v>17.5</v>
      </c>
      <c r="G24" s="2">
        <v>2</v>
      </c>
      <c r="H24" s="3">
        <f t="shared" si="0"/>
        <v>17.416666666666668</v>
      </c>
      <c r="I24" s="4"/>
    </row>
    <row r="25" spans="1:9" ht="27" x14ac:dyDescent="0.85">
      <c r="A25" s="2">
        <v>18</v>
      </c>
      <c r="B25" s="10" t="s">
        <v>42</v>
      </c>
      <c r="C25" s="10" t="s">
        <v>22</v>
      </c>
      <c r="D25" s="2">
        <v>16</v>
      </c>
      <c r="E25" s="2">
        <v>7</v>
      </c>
      <c r="F25" s="2">
        <v>8</v>
      </c>
      <c r="G25" s="2">
        <v>2</v>
      </c>
      <c r="H25" s="3">
        <f t="shared" si="0"/>
        <v>9.1666666666666661</v>
      </c>
      <c r="I25" s="4"/>
    </row>
    <row r="26" spans="1:9" ht="27" x14ac:dyDescent="0.85">
      <c r="A26" s="2">
        <v>19</v>
      </c>
      <c r="B26" s="10" t="s">
        <v>43</v>
      </c>
      <c r="C26" s="10" t="s">
        <v>22</v>
      </c>
      <c r="D26" s="2">
        <v>16</v>
      </c>
      <c r="E26" s="2">
        <v>7</v>
      </c>
      <c r="F26" s="2">
        <v>3</v>
      </c>
      <c r="G26" s="2">
        <v>2</v>
      </c>
      <c r="H26" s="3">
        <f t="shared" si="0"/>
        <v>5.833333333333333</v>
      </c>
      <c r="I26" s="4"/>
    </row>
    <row r="27" spans="1:9" ht="27" x14ac:dyDescent="0.85">
      <c r="A27" s="2">
        <v>20</v>
      </c>
      <c r="B27" s="10" t="s">
        <v>44</v>
      </c>
      <c r="C27" s="10" t="s">
        <v>22</v>
      </c>
      <c r="D27" s="2">
        <v>16</v>
      </c>
      <c r="E27" s="2">
        <v>12.5</v>
      </c>
      <c r="F27" s="2">
        <v>12.5</v>
      </c>
      <c r="G27" s="2">
        <v>2</v>
      </c>
      <c r="H27" s="3">
        <f t="shared" si="0"/>
        <v>13.083333333333334</v>
      </c>
      <c r="I27" s="4"/>
    </row>
    <row r="28" spans="1:9" ht="27" x14ac:dyDescent="0.85">
      <c r="A28" s="2">
        <v>21</v>
      </c>
      <c r="B28" s="10" t="s">
        <v>45</v>
      </c>
      <c r="C28" s="10" t="s">
        <v>22</v>
      </c>
      <c r="D28" s="2">
        <v>16</v>
      </c>
      <c r="E28" s="2">
        <v>10.5</v>
      </c>
      <c r="F28" s="2">
        <v>10.5</v>
      </c>
      <c r="G28" s="2">
        <v>2</v>
      </c>
      <c r="H28" s="3">
        <f t="shared" si="0"/>
        <v>11.416666666666666</v>
      </c>
      <c r="I28" s="4"/>
    </row>
    <row r="29" spans="1:9" ht="27" x14ac:dyDescent="0.85">
      <c r="A29" s="2">
        <v>22</v>
      </c>
      <c r="B29" s="10" t="s">
        <v>46</v>
      </c>
      <c r="C29" s="10" t="s">
        <v>22</v>
      </c>
      <c r="D29" s="2">
        <v>15</v>
      </c>
      <c r="E29" s="2">
        <v>14</v>
      </c>
      <c r="F29" s="2">
        <v>13</v>
      </c>
      <c r="G29" s="2">
        <v>2</v>
      </c>
      <c r="H29" s="3">
        <f t="shared" si="0"/>
        <v>13.5</v>
      </c>
      <c r="I29" s="4"/>
    </row>
    <row r="30" spans="1:9" ht="27" x14ac:dyDescent="0.85">
      <c r="A30" s="2">
        <v>23</v>
      </c>
      <c r="B30" s="10" t="s">
        <v>47</v>
      </c>
      <c r="C30" s="10" t="s">
        <v>22</v>
      </c>
      <c r="D30" s="2">
        <v>11</v>
      </c>
      <c r="E30" s="2">
        <v>9.5</v>
      </c>
      <c r="F30" s="2">
        <v>7.5</v>
      </c>
      <c r="G30" s="2">
        <v>2</v>
      </c>
      <c r="H30" s="3">
        <f t="shared" si="0"/>
        <v>8.4166666666666661</v>
      </c>
      <c r="I30" s="4"/>
    </row>
    <row r="31" spans="1:9" ht="27" x14ac:dyDescent="0.85">
      <c r="A31" s="2">
        <v>24</v>
      </c>
      <c r="B31" s="10" t="s">
        <v>48</v>
      </c>
      <c r="C31" s="10" t="s">
        <v>22</v>
      </c>
      <c r="D31" s="2">
        <v>15</v>
      </c>
      <c r="E31" s="2">
        <v>9</v>
      </c>
      <c r="F31" s="2">
        <v>12.5</v>
      </c>
      <c r="G31" s="2">
        <v>2</v>
      </c>
      <c r="H31" s="3">
        <f t="shared" si="0"/>
        <v>12.333333333333334</v>
      </c>
      <c r="I31" s="4"/>
    </row>
    <row r="32" spans="1:9" ht="27" x14ac:dyDescent="0.85">
      <c r="A32" s="2">
        <v>25</v>
      </c>
      <c r="B32" s="10" t="s">
        <v>49</v>
      </c>
      <c r="C32" s="10" t="s">
        <v>22</v>
      </c>
      <c r="D32" s="2">
        <v>15</v>
      </c>
      <c r="E32" s="2">
        <v>12</v>
      </c>
      <c r="F32" s="2">
        <v>8</v>
      </c>
      <c r="G32" s="2">
        <v>2</v>
      </c>
      <c r="H32" s="3">
        <f t="shared" si="0"/>
        <v>9.8333333333333339</v>
      </c>
      <c r="I32" s="4"/>
    </row>
    <row r="33" spans="1:9" ht="27" x14ac:dyDescent="0.85">
      <c r="A33" s="2">
        <v>26</v>
      </c>
      <c r="B33" s="10" t="s">
        <v>50</v>
      </c>
      <c r="C33" s="10" t="s">
        <v>22</v>
      </c>
      <c r="D33" s="2">
        <v>16</v>
      </c>
      <c r="E33" s="2">
        <v>14</v>
      </c>
      <c r="F33" s="2">
        <v>15</v>
      </c>
      <c r="G33" s="2">
        <v>2</v>
      </c>
      <c r="H33" s="3">
        <f t="shared" si="0"/>
        <v>15</v>
      </c>
      <c r="I33" s="4"/>
    </row>
    <row r="34" spans="1:9" ht="27" x14ac:dyDescent="0.85">
      <c r="A34" s="2">
        <v>27</v>
      </c>
      <c r="B34" s="10" t="s">
        <v>51</v>
      </c>
      <c r="C34" s="10" t="s">
        <v>22</v>
      </c>
      <c r="D34" s="2">
        <v>16</v>
      </c>
      <c r="E34" s="2">
        <v>8</v>
      </c>
      <c r="F34" s="2">
        <v>13</v>
      </c>
      <c r="G34" s="2">
        <v>2</v>
      </c>
      <c r="H34" s="3">
        <f t="shared" si="0"/>
        <v>12.666666666666666</v>
      </c>
      <c r="I34" s="4"/>
    </row>
    <row r="35" spans="1:9" ht="27" x14ac:dyDescent="0.85">
      <c r="A35" s="2">
        <v>28</v>
      </c>
      <c r="B35" s="10" t="s">
        <v>52</v>
      </c>
      <c r="C35" s="10" t="s">
        <v>22</v>
      </c>
      <c r="D35" s="2">
        <v>18</v>
      </c>
      <c r="E35" s="2">
        <v>18.5</v>
      </c>
      <c r="F35" s="2">
        <v>17.5</v>
      </c>
      <c r="G35" s="2">
        <v>2</v>
      </c>
      <c r="H35" s="3">
        <f t="shared" si="0"/>
        <v>17.75</v>
      </c>
      <c r="I35" s="4"/>
    </row>
    <row r="36" spans="1:9" ht="27" x14ac:dyDescent="0.85">
      <c r="A36" s="2">
        <v>29</v>
      </c>
      <c r="B36" s="10" t="s">
        <v>53</v>
      </c>
      <c r="C36" s="10" t="s">
        <v>22</v>
      </c>
      <c r="D36" s="2">
        <v>16</v>
      </c>
      <c r="E36" s="2">
        <v>10</v>
      </c>
      <c r="F36" s="2">
        <v>6</v>
      </c>
      <c r="G36" s="2">
        <v>2</v>
      </c>
      <c r="H36" s="3">
        <f t="shared" si="0"/>
        <v>8.3333333333333339</v>
      </c>
      <c r="I36" s="4"/>
    </row>
    <row r="37" spans="1:9" ht="27" x14ac:dyDescent="0.85">
      <c r="A37" s="2">
        <v>30</v>
      </c>
      <c r="B37" s="10" t="s">
        <v>54</v>
      </c>
      <c r="C37" s="10" t="s">
        <v>22</v>
      </c>
      <c r="D37" s="2">
        <v>15</v>
      </c>
      <c r="E37" s="2">
        <v>6</v>
      </c>
      <c r="F37" s="2">
        <v>10</v>
      </c>
      <c r="G37" s="2">
        <v>2</v>
      </c>
      <c r="H37" s="3">
        <f t="shared" si="0"/>
        <v>10.166666666666666</v>
      </c>
      <c r="I37" s="4"/>
    </row>
    <row r="38" spans="1:9" ht="27" x14ac:dyDescent="0.85">
      <c r="A38" s="2">
        <v>31</v>
      </c>
      <c r="B38" s="10" t="s">
        <v>55</v>
      </c>
      <c r="C38" s="10" t="s">
        <v>22</v>
      </c>
      <c r="D38" s="2">
        <v>16</v>
      </c>
      <c r="E38" s="2">
        <v>5</v>
      </c>
      <c r="F38" s="2">
        <v>11.5</v>
      </c>
      <c r="G38" s="2">
        <v>2</v>
      </c>
      <c r="H38" s="3">
        <f t="shared" si="0"/>
        <v>11.166666666666666</v>
      </c>
      <c r="I38" s="4"/>
    </row>
    <row r="39" spans="1:9" ht="27" x14ac:dyDescent="0.85">
      <c r="A39" s="2">
        <v>32</v>
      </c>
      <c r="B39" s="10" t="s">
        <v>56</v>
      </c>
      <c r="C39" s="10" t="s">
        <v>22</v>
      </c>
      <c r="D39" s="2">
        <v>18</v>
      </c>
      <c r="E39" s="2">
        <v>17.5</v>
      </c>
      <c r="F39" s="2">
        <v>17.5</v>
      </c>
      <c r="G39" s="2">
        <v>2</v>
      </c>
      <c r="H39" s="3">
        <f t="shared" si="0"/>
        <v>17.583333333333332</v>
      </c>
      <c r="I39" s="4"/>
    </row>
    <row r="40" spans="1:9" ht="27" x14ac:dyDescent="0.85">
      <c r="A40" s="2">
        <v>33</v>
      </c>
      <c r="B40" s="10" t="s">
        <v>57</v>
      </c>
      <c r="C40" s="10" t="s">
        <v>22</v>
      </c>
      <c r="D40" s="2">
        <v>11</v>
      </c>
      <c r="E40" s="2">
        <v>14</v>
      </c>
      <c r="F40" s="2">
        <v>7</v>
      </c>
      <c r="G40" s="2">
        <v>2</v>
      </c>
      <c r="H40" s="3">
        <f t="shared" si="0"/>
        <v>8.8333333333333339</v>
      </c>
      <c r="I40" s="4"/>
    </row>
    <row r="41" spans="1:9" ht="27" x14ac:dyDescent="0.85">
      <c r="A41" s="2">
        <v>34</v>
      </c>
      <c r="B41" s="10" t="s">
        <v>58</v>
      </c>
      <c r="C41" s="10" t="s">
        <v>22</v>
      </c>
      <c r="D41" s="2">
        <v>14</v>
      </c>
      <c r="E41" s="2">
        <v>3.5</v>
      </c>
      <c r="F41" s="2">
        <v>6</v>
      </c>
      <c r="G41" s="2">
        <v>2</v>
      </c>
      <c r="H41" s="3">
        <f t="shared" si="0"/>
        <v>6.916666666666667</v>
      </c>
      <c r="I41" s="4"/>
    </row>
    <row r="42" spans="1:9" ht="27" x14ac:dyDescent="0.85">
      <c r="A42" s="2">
        <v>35</v>
      </c>
      <c r="B42" s="10" t="s">
        <v>59</v>
      </c>
      <c r="C42" s="10" t="s">
        <v>22</v>
      </c>
      <c r="D42" s="2">
        <v>16</v>
      </c>
      <c r="E42" s="2">
        <v>5</v>
      </c>
      <c r="F42" s="2">
        <v>9</v>
      </c>
      <c r="G42" s="2">
        <v>2</v>
      </c>
      <c r="H42" s="3">
        <f t="shared" si="0"/>
        <v>9.5</v>
      </c>
      <c r="I42" s="4"/>
    </row>
    <row r="43" spans="1:9" ht="27" x14ac:dyDescent="0.85">
      <c r="A43" s="2">
        <v>36</v>
      </c>
      <c r="B43" s="10" t="s">
        <v>60</v>
      </c>
      <c r="C43" s="10" t="s">
        <v>22</v>
      </c>
      <c r="D43" s="2">
        <v>14</v>
      </c>
      <c r="E43" s="2">
        <v>6.5</v>
      </c>
      <c r="F43" s="2">
        <v>8.5</v>
      </c>
      <c r="G43" s="2">
        <v>2</v>
      </c>
      <c r="H43" s="3">
        <f t="shared" si="0"/>
        <v>9.0833333333333339</v>
      </c>
      <c r="I43" s="4"/>
    </row>
    <row r="44" spans="1:9" ht="27" x14ac:dyDescent="0.85">
      <c r="A44" s="2">
        <v>37</v>
      </c>
      <c r="B44" s="10" t="s">
        <v>61</v>
      </c>
      <c r="C44" s="10" t="s">
        <v>22</v>
      </c>
      <c r="D44" s="2">
        <v>16</v>
      </c>
      <c r="E44" s="2">
        <v>11</v>
      </c>
      <c r="F44" s="2">
        <v>11</v>
      </c>
      <c r="G44" s="2">
        <v>2</v>
      </c>
      <c r="H44" s="3">
        <f t="shared" si="0"/>
        <v>11.833333333333334</v>
      </c>
      <c r="I44" s="4"/>
    </row>
    <row r="45" spans="1:9" ht="27" x14ac:dyDescent="0.85">
      <c r="A45" s="2">
        <v>38</v>
      </c>
      <c r="B45" s="10" t="s">
        <v>62</v>
      </c>
      <c r="C45" s="10" t="s">
        <v>22</v>
      </c>
      <c r="D45" s="2">
        <v>15</v>
      </c>
      <c r="E45" s="2">
        <v>10</v>
      </c>
      <c r="F45" s="2">
        <v>8.5</v>
      </c>
      <c r="G45" s="2">
        <v>2</v>
      </c>
      <c r="H45" s="3">
        <f t="shared" si="0"/>
        <v>9.8333333333333339</v>
      </c>
      <c r="I45" s="4"/>
    </row>
    <row r="46" spans="1:9" ht="27" x14ac:dyDescent="0.85">
      <c r="A46" s="2">
        <v>39</v>
      </c>
      <c r="B46" s="10" t="s">
        <v>63</v>
      </c>
      <c r="C46" s="10" t="s">
        <v>22</v>
      </c>
      <c r="D46" s="2">
        <v>12</v>
      </c>
      <c r="E46" s="2">
        <v>16</v>
      </c>
      <c r="F46" s="2">
        <v>16</v>
      </c>
      <c r="G46" s="2">
        <v>2</v>
      </c>
      <c r="H46" s="3">
        <f t="shared" si="0"/>
        <v>15.333333333333334</v>
      </c>
      <c r="I46" s="4"/>
    </row>
    <row r="47" spans="1:9" ht="27" x14ac:dyDescent="0.85">
      <c r="A47" s="2">
        <v>40</v>
      </c>
      <c r="B47" s="10" t="s">
        <v>64</v>
      </c>
      <c r="C47" s="10" t="s">
        <v>22</v>
      </c>
      <c r="D47" s="2">
        <v>14</v>
      </c>
      <c r="E47" s="2">
        <v>13.5</v>
      </c>
      <c r="F47" s="2">
        <v>5.5</v>
      </c>
      <c r="G47" s="2">
        <v>2</v>
      </c>
      <c r="H47" s="3">
        <f t="shared" si="0"/>
        <v>8.25</v>
      </c>
      <c r="I47" s="4"/>
    </row>
    <row r="48" spans="1:9" ht="27" x14ac:dyDescent="0.85">
      <c r="A48" s="2">
        <v>41</v>
      </c>
      <c r="B48" s="10" t="s">
        <v>65</v>
      </c>
      <c r="C48" s="10" t="s">
        <v>22</v>
      </c>
      <c r="D48" s="2">
        <v>14</v>
      </c>
      <c r="E48" s="2">
        <v>13.5</v>
      </c>
      <c r="F48" s="2">
        <v>5.5</v>
      </c>
      <c r="G48" s="2">
        <v>2</v>
      </c>
      <c r="H48" s="3">
        <f t="shared" si="0"/>
        <v>8.25</v>
      </c>
      <c r="I48" s="4"/>
    </row>
    <row r="49" spans="1:9" ht="27" x14ac:dyDescent="0.85">
      <c r="A49" s="2">
        <v>42</v>
      </c>
      <c r="B49" s="10" t="s">
        <v>66</v>
      </c>
      <c r="C49" s="10" t="s">
        <v>22</v>
      </c>
      <c r="D49" s="2">
        <v>14</v>
      </c>
      <c r="E49" s="2">
        <v>13.5</v>
      </c>
      <c r="F49" s="2">
        <v>5.5</v>
      </c>
      <c r="G49" s="2">
        <v>2</v>
      </c>
      <c r="H49" s="3">
        <f t="shared" si="0"/>
        <v>8.25</v>
      </c>
      <c r="I49" s="4"/>
    </row>
    <row r="50" spans="1:9" ht="27" x14ac:dyDescent="0.85">
      <c r="A50" s="2">
        <v>43</v>
      </c>
      <c r="B50" s="10"/>
      <c r="C50" s="10"/>
      <c r="D50" s="2"/>
      <c r="E50" s="2"/>
      <c r="F50" s="2"/>
      <c r="G50" s="2">
        <v>2</v>
      </c>
      <c r="H50" s="3" t="str">
        <f t="shared" si="0"/>
        <v xml:space="preserve"> </v>
      </c>
      <c r="I50" s="4"/>
    </row>
    <row r="51" spans="1:9" ht="27" x14ac:dyDescent="0.85">
      <c r="A51" s="2">
        <v>44</v>
      </c>
      <c r="B51" s="10"/>
      <c r="C51" s="10"/>
      <c r="D51" s="2"/>
      <c r="E51" s="2"/>
      <c r="F51" s="2"/>
      <c r="G51" s="2">
        <v>2</v>
      </c>
      <c r="H51" s="3" t="str">
        <f t="shared" si="0"/>
        <v xml:space="preserve"> </v>
      </c>
      <c r="I51" s="4"/>
    </row>
    <row r="52" spans="1:9" ht="27" x14ac:dyDescent="0.85">
      <c r="A52" s="2">
        <v>45</v>
      </c>
      <c r="B52" s="10"/>
      <c r="C52" s="10"/>
      <c r="D52" s="2"/>
      <c r="E52" s="2"/>
      <c r="F52" s="2"/>
      <c r="G52" s="2">
        <v>2</v>
      </c>
      <c r="H52" s="3" t="str">
        <f t="shared" si="0"/>
        <v xml:space="preserve"> </v>
      </c>
      <c r="I52" s="4"/>
    </row>
    <row r="53" spans="1:9" ht="27" x14ac:dyDescent="0.85">
      <c r="A53" s="2">
        <v>46</v>
      </c>
      <c r="B53" s="10"/>
      <c r="C53" s="10"/>
      <c r="D53" s="2"/>
      <c r="E53" s="2"/>
      <c r="F53" s="2"/>
      <c r="G53" s="2">
        <v>2</v>
      </c>
      <c r="H53" s="3" t="str">
        <f t="shared" si="0"/>
        <v xml:space="preserve"> </v>
      </c>
      <c r="I53" s="4"/>
    </row>
    <row r="54" spans="1:9" ht="27" x14ac:dyDescent="0.85">
      <c r="A54" s="2">
        <v>47</v>
      </c>
      <c r="B54" s="10"/>
      <c r="C54" s="10"/>
      <c r="D54" s="2"/>
      <c r="E54" s="2"/>
      <c r="F54" s="2"/>
      <c r="G54" s="2">
        <v>2</v>
      </c>
      <c r="H54" s="3" t="str">
        <f t="shared" si="0"/>
        <v xml:space="preserve"> </v>
      </c>
      <c r="I54" s="4"/>
    </row>
    <row r="55" spans="1:9" ht="27" x14ac:dyDescent="0.85">
      <c r="A55" s="2">
        <v>48</v>
      </c>
      <c r="B55" s="10"/>
      <c r="C55" s="10"/>
      <c r="D55" s="2"/>
      <c r="E55" s="2"/>
      <c r="F55" s="2"/>
      <c r="G55" s="2">
        <v>2</v>
      </c>
      <c r="H55" s="3" t="str">
        <f t="shared" si="0"/>
        <v xml:space="preserve"> </v>
      </c>
      <c r="I55" s="4"/>
    </row>
    <row r="56" spans="1:9" ht="27" x14ac:dyDescent="0.85">
      <c r="A56" s="2">
        <v>49</v>
      </c>
      <c r="B56" s="10"/>
      <c r="C56" s="10"/>
      <c r="D56" s="2"/>
      <c r="E56" s="2"/>
      <c r="F56" s="2"/>
      <c r="G56" s="2">
        <v>2</v>
      </c>
      <c r="H56" s="3" t="str">
        <f t="shared" si="0"/>
        <v xml:space="preserve"> </v>
      </c>
      <c r="I56" s="4"/>
    </row>
    <row r="57" spans="1:9" ht="27" x14ac:dyDescent="0.85">
      <c r="A57" s="2">
        <v>50</v>
      </c>
      <c r="B57" s="10"/>
      <c r="C57" s="10"/>
      <c r="D57" s="2"/>
      <c r="E57" s="2"/>
      <c r="F57" s="2"/>
      <c r="G57" s="2">
        <v>2</v>
      </c>
      <c r="H57" s="3" t="str">
        <f t="shared" si="0"/>
        <v xml:space="preserve"> </v>
      </c>
      <c r="I57" s="4"/>
    </row>
    <row r="58" spans="1:9" ht="27" x14ac:dyDescent="0.85">
      <c r="A58" s="2">
        <v>51</v>
      </c>
      <c r="B58" s="10"/>
      <c r="C58" s="10"/>
      <c r="D58" s="2"/>
      <c r="E58" s="2"/>
      <c r="F58" s="2"/>
      <c r="G58" s="2">
        <v>2</v>
      </c>
      <c r="H58" s="3" t="str">
        <f t="shared" si="0"/>
        <v xml:space="preserve"> </v>
      </c>
      <c r="I58" s="4"/>
    </row>
    <row r="59" spans="1:9" ht="27" x14ac:dyDescent="0.85">
      <c r="A59" s="2">
        <v>52</v>
      </c>
      <c r="B59" s="10"/>
      <c r="C59" s="10"/>
      <c r="D59" s="2"/>
      <c r="E59" s="2"/>
      <c r="F59" s="2"/>
      <c r="G59" s="2">
        <v>2</v>
      </c>
      <c r="H59" s="3" t="str">
        <f t="shared" si="0"/>
        <v xml:space="preserve"> </v>
      </c>
      <c r="I59" s="4"/>
    </row>
    <row r="60" spans="1:9" ht="27" x14ac:dyDescent="0.85">
      <c r="A60" s="2">
        <v>53</v>
      </c>
      <c r="B60" s="10"/>
      <c r="C60" s="10"/>
      <c r="D60" s="2"/>
      <c r="E60" s="2"/>
      <c r="F60" s="2"/>
      <c r="G60" s="2">
        <v>2</v>
      </c>
      <c r="H60" s="3" t="str">
        <f t="shared" si="0"/>
        <v xml:space="preserve"> </v>
      </c>
      <c r="I60" s="4"/>
    </row>
    <row r="61" spans="1:9" ht="27" x14ac:dyDescent="0.85">
      <c r="A61" s="2">
        <v>54</v>
      </c>
      <c r="B61" s="10"/>
      <c r="C61" s="10"/>
      <c r="D61" s="2"/>
      <c r="E61" s="2"/>
      <c r="F61" s="2"/>
      <c r="G61" s="2">
        <v>2</v>
      </c>
      <c r="H61" s="3" t="str">
        <f t="shared" si="0"/>
        <v xml:space="preserve"> </v>
      </c>
      <c r="I61" s="4"/>
    </row>
    <row r="62" spans="1:9" ht="27" x14ac:dyDescent="0.85">
      <c r="A62" s="2">
        <v>55</v>
      </c>
      <c r="B62" s="10"/>
      <c r="C62" s="10"/>
      <c r="D62" s="2"/>
      <c r="E62" s="2"/>
      <c r="F62" s="2"/>
      <c r="G62" s="2">
        <v>2</v>
      </c>
      <c r="H62" s="3" t="str">
        <f t="shared" si="0"/>
        <v xml:space="preserve"> </v>
      </c>
      <c r="I62" s="4"/>
    </row>
    <row r="63" spans="1:9" ht="27" x14ac:dyDescent="0.85">
      <c r="A63" s="2">
        <v>56</v>
      </c>
      <c r="B63" s="10"/>
      <c r="C63" s="10"/>
      <c r="D63" s="2"/>
      <c r="E63" s="2"/>
      <c r="F63" s="2"/>
      <c r="G63" s="2">
        <v>2</v>
      </c>
      <c r="H63" s="3" t="str">
        <f t="shared" si="0"/>
        <v xml:space="preserve"> </v>
      </c>
      <c r="I63" s="4"/>
    </row>
    <row r="64" spans="1:9" ht="27" x14ac:dyDescent="0.85">
      <c r="A64" s="2">
        <v>57</v>
      </c>
      <c r="B64" s="10"/>
      <c r="C64" s="10"/>
      <c r="D64" s="2"/>
      <c r="E64" s="2"/>
      <c r="F64" s="2"/>
      <c r="G64" s="2">
        <v>2</v>
      </c>
      <c r="H64" s="3" t="str">
        <f t="shared" si="0"/>
        <v xml:space="preserve"> </v>
      </c>
      <c r="I64" s="4"/>
    </row>
    <row r="65" spans="1:9" ht="27" x14ac:dyDescent="0.85">
      <c r="A65" s="2">
        <v>58</v>
      </c>
      <c r="B65" s="10"/>
      <c r="C65" s="10"/>
      <c r="D65" s="2"/>
      <c r="E65" s="2"/>
      <c r="F65" s="2"/>
      <c r="G65" s="2">
        <v>2</v>
      </c>
      <c r="H65" s="3" t="str">
        <f t="shared" si="0"/>
        <v xml:space="preserve"> </v>
      </c>
      <c r="I65" s="4"/>
    </row>
    <row r="66" spans="1:9" ht="27" x14ac:dyDescent="0.85">
      <c r="A66" s="2">
        <v>59</v>
      </c>
      <c r="B66" s="10"/>
      <c r="C66" s="10"/>
      <c r="D66" s="2"/>
      <c r="E66" s="2"/>
      <c r="F66" s="2"/>
      <c r="G66" s="2">
        <v>2</v>
      </c>
      <c r="H66" s="3" t="str">
        <f t="shared" si="0"/>
        <v xml:space="preserve"> </v>
      </c>
      <c r="I66" s="4"/>
    </row>
    <row r="68" spans="1:9" ht="27" x14ac:dyDescent="0.3">
      <c r="B68" s="21" t="s">
        <v>7</v>
      </c>
      <c r="C68" s="22"/>
      <c r="D68" s="5">
        <f>COUNTA(B8:B66)</f>
        <v>42</v>
      </c>
      <c r="E68" s="5"/>
      <c r="G68" s="7"/>
      <c r="H68" s="8"/>
    </row>
    <row r="69" spans="1:9" ht="27" x14ac:dyDescent="0.3">
      <c r="B69" s="21" t="s">
        <v>8</v>
      </c>
      <c r="C69" s="22"/>
      <c r="D69" s="5">
        <f>COUNTIF(H8:H66,"&gt;=10")</f>
        <v>25</v>
      </c>
      <c r="E69" s="6">
        <f>D69/D68</f>
        <v>0.59523809523809523</v>
      </c>
    </row>
    <row r="70" spans="1:9" ht="27" x14ac:dyDescent="0.3">
      <c r="B70" s="21" t="s">
        <v>9</v>
      </c>
      <c r="C70" s="22"/>
      <c r="D70" s="5">
        <f>COUNTIF(H8:H66,"&lt;10")</f>
        <v>17</v>
      </c>
      <c r="E70" s="6">
        <f>D70/D68</f>
        <v>0.40476190476190477</v>
      </c>
    </row>
    <row r="71" spans="1:9" ht="27" x14ac:dyDescent="0.3">
      <c r="B71" s="21" t="s">
        <v>5</v>
      </c>
      <c r="C71" s="22"/>
      <c r="D71" s="23">
        <f>AVERAGE(H8:H66)</f>
        <v>11.374999999999996</v>
      </c>
      <c r="E71" s="24"/>
    </row>
  </sheetData>
  <mergeCells count="7">
    <mergeCell ref="B71:C71"/>
    <mergeCell ref="D71:E71"/>
    <mergeCell ref="A1:I1"/>
    <mergeCell ref="C2:G4"/>
    <mergeCell ref="B68:C68"/>
    <mergeCell ref="B69:C69"/>
    <mergeCell ref="B70:C70"/>
  </mergeCells>
  <conditionalFormatting sqref="H8:H66">
    <cfRule type="cellIs" dxfId="3" priority="1" operator="greaterThan">
      <formula>9.99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E0FF-1965-48D2-A81C-4DFFDEB1FDEB}">
  <dimension ref="A1:I71"/>
  <sheetViews>
    <sheetView rightToLeft="1" topLeftCell="A37" zoomScale="85" zoomScaleNormal="85" workbookViewId="0">
      <selection activeCell="H5" sqref="H5"/>
    </sheetView>
  </sheetViews>
  <sheetFormatPr defaultRowHeight="14.4" x14ac:dyDescent="0.3"/>
  <cols>
    <col min="1" max="1" width="4.6640625" customWidth="1"/>
    <col min="2" max="3" width="16.21875" customWidth="1"/>
    <col min="4" max="4" width="9" bestFit="1" customWidth="1"/>
    <col min="5" max="5" width="11.33203125" bestFit="1" customWidth="1"/>
    <col min="8" max="8" width="12.88671875" style="1" customWidth="1"/>
    <col min="9" max="9" width="16.21875" customWidth="1"/>
  </cols>
  <sheetData>
    <row r="1" spans="1:9" ht="27" x14ac:dyDescent="0.85">
      <c r="A1" s="25" t="s">
        <v>68</v>
      </c>
      <c r="B1" s="25"/>
      <c r="C1" s="25"/>
      <c r="D1" s="25"/>
      <c r="E1" s="25"/>
      <c r="F1" s="25"/>
      <c r="G1" s="25"/>
      <c r="H1" s="25"/>
      <c r="I1" s="25"/>
    </row>
    <row r="2" spans="1:9" ht="22.2" customHeight="1" x14ac:dyDescent="0.3">
      <c r="C2" s="26" t="s">
        <v>12</v>
      </c>
      <c r="D2" s="26"/>
      <c r="E2" s="26"/>
      <c r="F2" s="26"/>
      <c r="G2" s="26"/>
      <c r="I2" s="12" t="s">
        <v>23</v>
      </c>
    </row>
    <row r="3" spans="1:9" ht="14.4" customHeight="1" x14ac:dyDescent="0.3">
      <c r="C3" s="26"/>
      <c r="D3" s="26"/>
      <c r="E3" s="26"/>
      <c r="F3" s="26"/>
      <c r="G3" s="26"/>
      <c r="I3" s="13"/>
    </row>
    <row r="4" spans="1:9" x14ac:dyDescent="0.3">
      <c r="C4" s="26"/>
      <c r="D4" s="26"/>
      <c r="E4" s="26"/>
      <c r="F4" s="26"/>
      <c r="G4" s="26"/>
    </row>
    <row r="5" spans="1:9" ht="15.6" x14ac:dyDescent="0.3">
      <c r="B5" s="11" t="s">
        <v>76</v>
      </c>
    </row>
    <row r="6" spans="1:9" ht="15.6" x14ac:dyDescent="0.3">
      <c r="B6" s="11" t="s">
        <v>13</v>
      </c>
    </row>
    <row r="7" spans="1:9" s="1" customFormat="1" ht="27" x14ac:dyDescent="0.85">
      <c r="A7" s="9" t="s">
        <v>0</v>
      </c>
      <c r="B7" s="9" t="s">
        <v>10</v>
      </c>
      <c r="C7" s="9" t="s">
        <v>11</v>
      </c>
      <c r="D7" s="9" t="s">
        <v>1</v>
      </c>
      <c r="E7" s="9" t="s">
        <v>2</v>
      </c>
      <c r="F7" s="9" t="s">
        <v>3</v>
      </c>
      <c r="G7" s="9" t="s">
        <v>4</v>
      </c>
      <c r="H7" s="9" t="s">
        <v>5</v>
      </c>
      <c r="I7" s="9" t="s">
        <v>6</v>
      </c>
    </row>
    <row r="8" spans="1:9" ht="27" x14ac:dyDescent="0.85">
      <c r="A8" s="2">
        <v>1</v>
      </c>
      <c r="B8" s="10" t="s">
        <v>25</v>
      </c>
      <c r="C8" s="10" t="s">
        <v>22</v>
      </c>
      <c r="D8" s="2">
        <v>16</v>
      </c>
      <c r="E8" s="2">
        <v>13.5</v>
      </c>
      <c r="F8" s="2">
        <v>8</v>
      </c>
      <c r="G8" s="2">
        <v>2</v>
      </c>
      <c r="H8" s="3">
        <f>IF(ISBLANK(B8)," ",(D8+E8+F8*4)/6)</f>
        <v>10.25</v>
      </c>
      <c r="I8" s="4"/>
    </row>
    <row r="9" spans="1:9" ht="27" x14ac:dyDescent="0.85">
      <c r="A9" s="2">
        <v>2</v>
      </c>
      <c r="B9" s="10" t="s">
        <v>26</v>
      </c>
      <c r="C9" s="10" t="s">
        <v>22</v>
      </c>
      <c r="D9" s="2">
        <v>16</v>
      </c>
      <c r="E9" s="2">
        <v>8</v>
      </c>
      <c r="F9" s="2">
        <v>4</v>
      </c>
      <c r="G9" s="2">
        <v>2</v>
      </c>
      <c r="H9" s="3">
        <f t="shared" ref="H9:H66" si="0">IF(ISBLANK(B9)," ",(D9+E9+F9*4)/6)</f>
        <v>6.666666666666667</v>
      </c>
      <c r="I9" s="4"/>
    </row>
    <row r="10" spans="1:9" ht="27" x14ac:dyDescent="0.85">
      <c r="A10" s="2">
        <v>3</v>
      </c>
      <c r="B10" s="10" t="s">
        <v>27</v>
      </c>
      <c r="C10" s="10" t="s">
        <v>22</v>
      </c>
      <c r="D10" s="2">
        <v>16</v>
      </c>
      <c r="E10" s="2">
        <v>5</v>
      </c>
      <c r="F10" s="2">
        <v>11.5</v>
      </c>
      <c r="G10" s="2">
        <v>2</v>
      </c>
      <c r="H10" s="3">
        <f t="shared" si="0"/>
        <v>11.166666666666666</v>
      </c>
      <c r="I10" s="4"/>
    </row>
    <row r="11" spans="1:9" ht="27" x14ac:dyDescent="0.85">
      <c r="A11" s="2">
        <v>4</v>
      </c>
      <c r="B11" s="10" t="s">
        <v>28</v>
      </c>
      <c r="C11" s="10" t="s">
        <v>22</v>
      </c>
      <c r="D11" s="2">
        <v>16</v>
      </c>
      <c r="E11" s="2">
        <v>14</v>
      </c>
      <c r="F11" s="2">
        <v>7</v>
      </c>
      <c r="G11" s="2">
        <v>2</v>
      </c>
      <c r="H11" s="3">
        <f t="shared" si="0"/>
        <v>9.6666666666666661</v>
      </c>
      <c r="I11" s="4"/>
    </row>
    <row r="12" spans="1:9" ht="27" x14ac:dyDescent="0.85">
      <c r="A12" s="2">
        <v>5</v>
      </c>
      <c r="B12" s="10" t="s">
        <v>29</v>
      </c>
      <c r="C12" s="10" t="s">
        <v>22</v>
      </c>
      <c r="D12" s="2">
        <v>14</v>
      </c>
      <c r="E12" s="2">
        <v>12.5</v>
      </c>
      <c r="F12" s="2">
        <v>5.5</v>
      </c>
      <c r="G12" s="2">
        <v>2</v>
      </c>
      <c r="H12" s="3">
        <f t="shared" si="0"/>
        <v>8.0833333333333339</v>
      </c>
      <c r="I12" s="4"/>
    </row>
    <row r="13" spans="1:9" ht="27" x14ac:dyDescent="0.85">
      <c r="A13" s="2">
        <v>6</v>
      </c>
      <c r="B13" s="10" t="s">
        <v>30</v>
      </c>
      <c r="C13" s="10" t="s">
        <v>22</v>
      </c>
      <c r="D13" s="2">
        <v>17</v>
      </c>
      <c r="E13" s="2">
        <v>18.5</v>
      </c>
      <c r="F13" s="2">
        <v>9.5</v>
      </c>
      <c r="G13" s="2">
        <v>2</v>
      </c>
      <c r="H13" s="3">
        <f t="shared" si="0"/>
        <v>12.25</v>
      </c>
      <c r="I13" s="4"/>
    </row>
    <row r="14" spans="1:9" ht="27" x14ac:dyDescent="0.85">
      <c r="A14" s="2">
        <v>7</v>
      </c>
      <c r="B14" s="10" t="s">
        <v>31</v>
      </c>
      <c r="C14" s="10" t="s">
        <v>22</v>
      </c>
      <c r="D14" s="2">
        <v>16</v>
      </c>
      <c r="E14" s="2">
        <v>11.5</v>
      </c>
      <c r="F14" s="2">
        <v>7</v>
      </c>
      <c r="G14" s="2">
        <v>2</v>
      </c>
      <c r="H14" s="3">
        <f t="shared" si="0"/>
        <v>9.25</v>
      </c>
      <c r="I14" s="4"/>
    </row>
    <row r="15" spans="1:9" ht="27" x14ac:dyDescent="0.85">
      <c r="A15" s="2">
        <v>8</v>
      </c>
      <c r="B15" s="10" t="s">
        <v>32</v>
      </c>
      <c r="C15" s="10" t="s">
        <v>22</v>
      </c>
      <c r="D15" s="2">
        <v>15</v>
      </c>
      <c r="E15" s="2">
        <v>16</v>
      </c>
      <c r="F15" s="2">
        <v>14.5</v>
      </c>
      <c r="G15" s="2">
        <v>2</v>
      </c>
      <c r="H15" s="3">
        <f t="shared" si="0"/>
        <v>14.833333333333334</v>
      </c>
      <c r="I15" s="4"/>
    </row>
    <row r="16" spans="1:9" ht="27" x14ac:dyDescent="0.85">
      <c r="A16" s="2">
        <v>9</v>
      </c>
      <c r="B16" s="10" t="s">
        <v>33</v>
      </c>
      <c r="C16" s="10" t="s">
        <v>22</v>
      </c>
      <c r="D16" s="2">
        <v>17</v>
      </c>
      <c r="E16" s="2">
        <v>16</v>
      </c>
      <c r="F16" s="2">
        <v>15.5</v>
      </c>
      <c r="G16" s="2">
        <v>2</v>
      </c>
      <c r="H16" s="3">
        <f t="shared" si="0"/>
        <v>15.833333333333334</v>
      </c>
      <c r="I16" s="4"/>
    </row>
    <row r="17" spans="1:9" ht="27" x14ac:dyDescent="0.85">
      <c r="A17" s="2">
        <v>10</v>
      </c>
      <c r="B17" s="10" t="s">
        <v>34</v>
      </c>
      <c r="C17" s="10" t="s">
        <v>22</v>
      </c>
      <c r="D17" s="2">
        <v>15</v>
      </c>
      <c r="E17" s="2">
        <v>16</v>
      </c>
      <c r="F17" s="2">
        <v>7</v>
      </c>
      <c r="G17" s="2">
        <v>2</v>
      </c>
      <c r="H17" s="3">
        <f t="shared" si="0"/>
        <v>9.8333333333333339</v>
      </c>
      <c r="I17" s="4"/>
    </row>
    <row r="18" spans="1:9" ht="27" x14ac:dyDescent="0.85">
      <c r="A18" s="2">
        <v>11</v>
      </c>
      <c r="B18" s="10" t="s">
        <v>35</v>
      </c>
      <c r="C18" s="10" t="s">
        <v>22</v>
      </c>
      <c r="D18" s="2">
        <v>16</v>
      </c>
      <c r="E18" s="2">
        <v>14</v>
      </c>
      <c r="F18" s="2">
        <v>11.5</v>
      </c>
      <c r="G18" s="2">
        <v>2</v>
      </c>
      <c r="H18" s="3">
        <f t="shared" si="0"/>
        <v>12.666666666666666</v>
      </c>
      <c r="I18" s="4"/>
    </row>
    <row r="19" spans="1:9" ht="27" x14ac:dyDescent="0.85">
      <c r="A19" s="2">
        <v>12</v>
      </c>
      <c r="B19" s="10" t="s">
        <v>36</v>
      </c>
      <c r="C19" s="10" t="s">
        <v>22</v>
      </c>
      <c r="D19" s="2">
        <v>15</v>
      </c>
      <c r="E19" s="2">
        <v>11</v>
      </c>
      <c r="F19" s="2">
        <v>9.5</v>
      </c>
      <c r="G19" s="2">
        <v>2</v>
      </c>
      <c r="H19" s="3">
        <f t="shared" si="0"/>
        <v>10.666666666666666</v>
      </c>
      <c r="I19" s="4"/>
    </row>
    <row r="20" spans="1:9" ht="27" x14ac:dyDescent="0.85">
      <c r="A20" s="2">
        <v>13</v>
      </c>
      <c r="B20" s="10" t="s">
        <v>37</v>
      </c>
      <c r="C20" s="10" t="s">
        <v>22</v>
      </c>
      <c r="D20" s="2">
        <v>15</v>
      </c>
      <c r="E20" s="2">
        <v>16</v>
      </c>
      <c r="F20" s="2">
        <v>10</v>
      </c>
      <c r="G20" s="2">
        <v>2</v>
      </c>
      <c r="H20" s="3">
        <f t="shared" si="0"/>
        <v>11.833333333333334</v>
      </c>
      <c r="I20" s="4"/>
    </row>
    <row r="21" spans="1:9" ht="27" x14ac:dyDescent="0.85">
      <c r="A21" s="2">
        <v>14</v>
      </c>
      <c r="B21" s="10" t="s">
        <v>38</v>
      </c>
      <c r="C21" s="10" t="s">
        <v>22</v>
      </c>
      <c r="D21" s="2">
        <v>16</v>
      </c>
      <c r="E21" s="2">
        <v>12</v>
      </c>
      <c r="F21" s="2">
        <v>13</v>
      </c>
      <c r="G21" s="2">
        <v>2</v>
      </c>
      <c r="H21" s="3">
        <f t="shared" si="0"/>
        <v>13.333333333333334</v>
      </c>
      <c r="I21" s="4"/>
    </row>
    <row r="22" spans="1:9" ht="27" x14ac:dyDescent="0.85">
      <c r="A22" s="2">
        <v>15</v>
      </c>
      <c r="B22" s="10" t="s">
        <v>39</v>
      </c>
      <c r="C22" s="10" t="s">
        <v>22</v>
      </c>
      <c r="D22" s="2">
        <v>15</v>
      </c>
      <c r="E22" s="2">
        <v>7</v>
      </c>
      <c r="F22" s="2">
        <v>2</v>
      </c>
      <c r="G22" s="2">
        <v>2</v>
      </c>
      <c r="H22" s="3">
        <f t="shared" si="0"/>
        <v>5</v>
      </c>
      <c r="I22" s="4"/>
    </row>
    <row r="23" spans="1:9" ht="27" x14ac:dyDescent="0.85">
      <c r="A23" s="2">
        <v>16</v>
      </c>
      <c r="B23" s="10" t="s">
        <v>40</v>
      </c>
      <c r="C23" s="10" t="s">
        <v>22</v>
      </c>
      <c r="D23" s="2">
        <v>15</v>
      </c>
      <c r="E23" s="2">
        <v>8.5</v>
      </c>
      <c r="F23" s="2">
        <v>7</v>
      </c>
      <c r="G23" s="2">
        <v>2</v>
      </c>
      <c r="H23" s="3">
        <f t="shared" si="0"/>
        <v>8.5833333333333339</v>
      </c>
      <c r="I23" s="4"/>
    </row>
    <row r="24" spans="1:9" ht="27" x14ac:dyDescent="0.85">
      <c r="A24" s="2">
        <v>17</v>
      </c>
      <c r="B24" s="10" t="s">
        <v>41</v>
      </c>
      <c r="C24" s="10" t="s">
        <v>22</v>
      </c>
      <c r="D24" s="2">
        <v>15</v>
      </c>
      <c r="E24" s="2">
        <v>11.5</v>
      </c>
      <c r="F24" s="2">
        <v>8.5</v>
      </c>
      <c r="G24" s="2">
        <v>2</v>
      </c>
      <c r="H24" s="3">
        <f t="shared" si="0"/>
        <v>10.083333333333334</v>
      </c>
      <c r="I24" s="4"/>
    </row>
    <row r="25" spans="1:9" ht="27" x14ac:dyDescent="0.85">
      <c r="A25" s="2">
        <v>18</v>
      </c>
      <c r="B25" s="10" t="s">
        <v>42</v>
      </c>
      <c r="C25" s="10" t="s">
        <v>22</v>
      </c>
      <c r="D25" s="2">
        <v>16</v>
      </c>
      <c r="E25" s="2">
        <v>19</v>
      </c>
      <c r="F25" s="2">
        <v>11.5</v>
      </c>
      <c r="G25" s="2">
        <v>2</v>
      </c>
      <c r="H25" s="3">
        <f t="shared" si="0"/>
        <v>13.5</v>
      </c>
      <c r="I25" s="4"/>
    </row>
    <row r="26" spans="1:9" ht="27" x14ac:dyDescent="0.85">
      <c r="A26" s="2">
        <v>19</v>
      </c>
      <c r="B26" s="10" t="s">
        <v>43</v>
      </c>
      <c r="C26" s="10" t="s">
        <v>22</v>
      </c>
      <c r="D26" s="2">
        <v>16</v>
      </c>
      <c r="E26" s="2">
        <v>10.5</v>
      </c>
      <c r="F26" s="2">
        <v>14</v>
      </c>
      <c r="G26" s="2">
        <v>2</v>
      </c>
      <c r="H26" s="3">
        <f t="shared" si="0"/>
        <v>13.75</v>
      </c>
      <c r="I26" s="4"/>
    </row>
    <row r="27" spans="1:9" ht="27" x14ac:dyDescent="0.85">
      <c r="A27" s="2">
        <v>20</v>
      </c>
      <c r="B27" s="10" t="s">
        <v>44</v>
      </c>
      <c r="C27" s="10" t="s">
        <v>22</v>
      </c>
      <c r="D27" s="2">
        <v>17</v>
      </c>
      <c r="E27" s="2">
        <v>15</v>
      </c>
      <c r="F27" s="2">
        <v>14.5</v>
      </c>
      <c r="G27" s="2">
        <v>2</v>
      </c>
      <c r="H27" s="3">
        <f t="shared" si="0"/>
        <v>15</v>
      </c>
      <c r="I27" s="4"/>
    </row>
    <row r="28" spans="1:9" ht="27" x14ac:dyDescent="0.85">
      <c r="A28" s="2">
        <v>21</v>
      </c>
      <c r="B28" s="10" t="s">
        <v>45</v>
      </c>
      <c r="C28" s="10" t="s">
        <v>22</v>
      </c>
      <c r="D28" s="2">
        <v>16</v>
      </c>
      <c r="E28" s="2">
        <v>14</v>
      </c>
      <c r="F28" s="2">
        <v>12.5</v>
      </c>
      <c r="G28" s="2">
        <v>2</v>
      </c>
      <c r="H28" s="3">
        <f t="shared" si="0"/>
        <v>13.333333333333334</v>
      </c>
      <c r="I28" s="4"/>
    </row>
    <row r="29" spans="1:9" ht="27" x14ac:dyDescent="0.85">
      <c r="A29" s="2">
        <v>22</v>
      </c>
      <c r="B29" s="10" t="s">
        <v>46</v>
      </c>
      <c r="C29" s="10" t="s">
        <v>22</v>
      </c>
      <c r="D29" s="2">
        <v>15</v>
      </c>
      <c r="E29" s="2">
        <v>9</v>
      </c>
      <c r="F29" s="2">
        <v>9.5</v>
      </c>
      <c r="G29" s="2">
        <v>2</v>
      </c>
      <c r="H29" s="3">
        <f t="shared" si="0"/>
        <v>10.333333333333334</v>
      </c>
      <c r="I29" s="4"/>
    </row>
    <row r="30" spans="1:9" ht="27" x14ac:dyDescent="0.85">
      <c r="A30" s="2">
        <v>23</v>
      </c>
      <c r="B30" s="10" t="s">
        <v>47</v>
      </c>
      <c r="C30" s="10" t="s">
        <v>22</v>
      </c>
      <c r="D30" s="2">
        <v>17</v>
      </c>
      <c r="E30" s="2">
        <v>15</v>
      </c>
      <c r="F30" s="2">
        <v>15</v>
      </c>
      <c r="G30" s="2">
        <v>2</v>
      </c>
      <c r="H30" s="3">
        <f t="shared" si="0"/>
        <v>15.333333333333334</v>
      </c>
      <c r="I30" s="4"/>
    </row>
    <row r="31" spans="1:9" ht="27" x14ac:dyDescent="0.85">
      <c r="A31" s="2">
        <v>24</v>
      </c>
      <c r="B31" s="10" t="s">
        <v>48</v>
      </c>
      <c r="C31" s="10" t="s">
        <v>22</v>
      </c>
      <c r="D31" s="2">
        <v>15</v>
      </c>
      <c r="E31" s="2">
        <v>13.5</v>
      </c>
      <c r="F31" s="2">
        <v>10</v>
      </c>
      <c r="G31" s="2">
        <v>2</v>
      </c>
      <c r="H31" s="3">
        <f t="shared" si="0"/>
        <v>11.416666666666666</v>
      </c>
      <c r="I31" s="4"/>
    </row>
    <row r="32" spans="1:9" ht="27" x14ac:dyDescent="0.85">
      <c r="A32" s="2">
        <v>25</v>
      </c>
      <c r="B32" s="10" t="s">
        <v>49</v>
      </c>
      <c r="C32" s="10" t="s">
        <v>22</v>
      </c>
      <c r="D32" s="2">
        <v>18</v>
      </c>
      <c r="E32" s="2">
        <v>19</v>
      </c>
      <c r="F32" s="2">
        <v>19</v>
      </c>
      <c r="G32" s="2">
        <v>2</v>
      </c>
      <c r="H32" s="3">
        <f t="shared" si="0"/>
        <v>18.833333333333332</v>
      </c>
      <c r="I32" s="4"/>
    </row>
    <row r="33" spans="1:9" ht="27" x14ac:dyDescent="0.85">
      <c r="A33" s="2">
        <v>26</v>
      </c>
      <c r="B33" s="10" t="s">
        <v>50</v>
      </c>
      <c r="C33" s="10" t="s">
        <v>22</v>
      </c>
      <c r="D33" s="2">
        <v>14</v>
      </c>
      <c r="E33" s="2">
        <v>7.5</v>
      </c>
      <c r="F33" s="2">
        <v>6.5</v>
      </c>
      <c r="G33" s="2">
        <v>2</v>
      </c>
      <c r="H33" s="3">
        <f t="shared" si="0"/>
        <v>7.916666666666667</v>
      </c>
      <c r="I33" s="4"/>
    </row>
    <row r="34" spans="1:9" ht="27" x14ac:dyDescent="0.85">
      <c r="A34" s="2">
        <v>27</v>
      </c>
      <c r="B34" s="10" t="s">
        <v>51</v>
      </c>
      <c r="C34" s="10" t="s">
        <v>22</v>
      </c>
      <c r="D34" s="2">
        <v>12</v>
      </c>
      <c r="E34" s="2">
        <v>8.5</v>
      </c>
      <c r="F34" s="2">
        <v>7</v>
      </c>
      <c r="G34" s="2">
        <v>2</v>
      </c>
      <c r="H34" s="3">
        <f t="shared" si="0"/>
        <v>8.0833333333333339</v>
      </c>
      <c r="I34" s="4"/>
    </row>
    <row r="35" spans="1:9" ht="27" x14ac:dyDescent="0.85">
      <c r="A35" s="2">
        <v>28</v>
      </c>
      <c r="B35" s="10" t="s">
        <v>52</v>
      </c>
      <c r="C35" s="10" t="s">
        <v>22</v>
      </c>
      <c r="D35" s="2">
        <v>18</v>
      </c>
      <c r="E35" s="2">
        <v>19</v>
      </c>
      <c r="F35" s="2">
        <v>19</v>
      </c>
      <c r="G35" s="2">
        <v>2</v>
      </c>
      <c r="H35" s="3">
        <f t="shared" si="0"/>
        <v>18.833333333333332</v>
      </c>
      <c r="I35" s="4"/>
    </row>
    <row r="36" spans="1:9" ht="27" x14ac:dyDescent="0.85">
      <c r="A36" s="2">
        <v>29</v>
      </c>
      <c r="B36" s="10" t="s">
        <v>53</v>
      </c>
      <c r="C36" s="10" t="s">
        <v>22</v>
      </c>
      <c r="D36" s="2">
        <v>15</v>
      </c>
      <c r="E36" s="2">
        <v>11.5</v>
      </c>
      <c r="F36" s="2">
        <v>6</v>
      </c>
      <c r="G36" s="2">
        <v>2</v>
      </c>
      <c r="H36" s="3">
        <f t="shared" si="0"/>
        <v>8.4166666666666661</v>
      </c>
      <c r="I36" s="4"/>
    </row>
    <row r="37" spans="1:9" ht="27" x14ac:dyDescent="0.85">
      <c r="A37" s="2">
        <v>30</v>
      </c>
      <c r="B37" s="10" t="s">
        <v>54</v>
      </c>
      <c r="C37" s="10" t="s">
        <v>22</v>
      </c>
      <c r="D37" s="2">
        <v>16</v>
      </c>
      <c r="E37" s="2">
        <v>16</v>
      </c>
      <c r="F37" s="2">
        <v>9.5</v>
      </c>
      <c r="G37" s="2">
        <v>2</v>
      </c>
      <c r="H37" s="3">
        <f t="shared" si="0"/>
        <v>11.666666666666666</v>
      </c>
      <c r="I37" s="4"/>
    </row>
    <row r="38" spans="1:9" ht="27" x14ac:dyDescent="0.85">
      <c r="A38" s="2">
        <v>31</v>
      </c>
      <c r="B38" s="10" t="s">
        <v>55</v>
      </c>
      <c r="C38" s="10" t="s">
        <v>22</v>
      </c>
      <c r="D38" s="2">
        <v>16</v>
      </c>
      <c r="E38" s="2">
        <v>13.5</v>
      </c>
      <c r="F38" s="2">
        <v>12</v>
      </c>
      <c r="G38" s="2">
        <v>2</v>
      </c>
      <c r="H38" s="3">
        <f t="shared" si="0"/>
        <v>12.916666666666666</v>
      </c>
      <c r="I38" s="4"/>
    </row>
    <row r="39" spans="1:9" ht="27" x14ac:dyDescent="0.85">
      <c r="A39" s="2">
        <v>32</v>
      </c>
      <c r="B39" s="10" t="s">
        <v>56</v>
      </c>
      <c r="C39" s="10" t="s">
        <v>22</v>
      </c>
      <c r="D39" s="2">
        <v>16</v>
      </c>
      <c r="E39" s="2">
        <v>7.5</v>
      </c>
      <c r="F39" s="2">
        <v>10</v>
      </c>
      <c r="G39" s="2">
        <v>2</v>
      </c>
      <c r="H39" s="3">
        <f t="shared" si="0"/>
        <v>10.583333333333334</v>
      </c>
      <c r="I39" s="4"/>
    </row>
    <row r="40" spans="1:9" ht="27" x14ac:dyDescent="0.85">
      <c r="A40" s="2">
        <v>33</v>
      </c>
      <c r="B40" s="10" t="s">
        <v>57</v>
      </c>
      <c r="C40" s="10" t="s">
        <v>22</v>
      </c>
      <c r="D40" s="2">
        <v>15</v>
      </c>
      <c r="E40" s="2">
        <v>7</v>
      </c>
      <c r="F40" s="2">
        <v>5.5</v>
      </c>
      <c r="G40" s="2">
        <v>2</v>
      </c>
      <c r="H40" s="3">
        <f t="shared" si="0"/>
        <v>7.333333333333333</v>
      </c>
      <c r="I40" s="4"/>
    </row>
    <row r="41" spans="1:9" ht="27" x14ac:dyDescent="0.85">
      <c r="A41" s="2">
        <v>34</v>
      </c>
      <c r="B41" s="10" t="s">
        <v>58</v>
      </c>
      <c r="C41" s="10" t="s">
        <v>22</v>
      </c>
      <c r="D41" s="2">
        <v>16</v>
      </c>
      <c r="E41" s="2">
        <v>7.5</v>
      </c>
      <c r="F41" s="2">
        <v>8.5</v>
      </c>
      <c r="G41" s="2">
        <v>2</v>
      </c>
      <c r="H41" s="3">
        <f t="shared" si="0"/>
        <v>9.5833333333333339</v>
      </c>
      <c r="I41" s="4"/>
    </row>
    <row r="42" spans="1:9" ht="27" x14ac:dyDescent="0.85">
      <c r="A42" s="2">
        <v>35</v>
      </c>
      <c r="B42" s="10" t="s">
        <v>59</v>
      </c>
      <c r="C42" s="10" t="s">
        <v>22</v>
      </c>
      <c r="D42" s="2">
        <v>17</v>
      </c>
      <c r="E42" s="2">
        <v>15</v>
      </c>
      <c r="F42" s="2">
        <v>12.5</v>
      </c>
      <c r="G42" s="2">
        <v>2</v>
      </c>
      <c r="H42" s="3">
        <f t="shared" si="0"/>
        <v>13.666666666666666</v>
      </c>
      <c r="I42" s="4"/>
    </row>
    <row r="43" spans="1:9" ht="27" x14ac:dyDescent="0.85">
      <c r="A43" s="2">
        <v>36</v>
      </c>
      <c r="B43" s="10" t="s">
        <v>60</v>
      </c>
      <c r="C43" s="10" t="s">
        <v>22</v>
      </c>
      <c r="D43" s="2">
        <v>14</v>
      </c>
      <c r="E43" s="2">
        <v>11</v>
      </c>
      <c r="F43" s="2">
        <v>5.5</v>
      </c>
      <c r="G43" s="2">
        <v>2</v>
      </c>
      <c r="H43" s="3">
        <f t="shared" si="0"/>
        <v>7.833333333333333</v>
      </c>
      <c r="I43" s="4"/>
    </row>
    <row r="44" spans="1:9" ht="27" x14ac:dyDescent="0.85">
      <c r="A44" s="2">
        <v>37</v>
      </c>
      <c r="B44" s="10" t="s">
        <v>61</v>
      </c>
      <c r="C44" s="10" t="s">
        <v>22</v>
      </c>
      <c r="D44" s="2">
        <v>16</v>
      </c>
      <c r="E44" s="2">
        <v>13</v>
      </c>
      <c r="F44" s="2">
        <v>11</v>
      </c>
      <c r="G44" s="2">
        <v>2</v>
      </c>
      <c r="H44" s="3">
        <f t="shared" si="0"/>
        <v>12.166666666666666</v>
      </c>
      <c r="I44" s="4"/>
    </row>
    <row r="45" spans="1:9" ht="27" x14ac:dyDescent="0.85">
      <c r="A45" s="2">
        <v>38</v>
      </c>
      <c r="B45" s="10" t="s">
        <v>62</v>
      </c>
      <c r="C45" s="10" t="s">
        <v>22</v>
      </c>
      <c r="D45" s="2">
        <v>18</v>
      </c>
      <c r="E45" s="2">
        <v>19</v>
      </c>
      <c r="F45" s="2">
        <v>19</v>
      </c>
      <c r="G45" s="2">
        <v>2</v>
      </c>
      <c r="H45" s="3">
        <f t="shared" si="0"/>
        <v>18.833333333333332</v>
      </c>
      <c r="I45" s="4"/>
    </row>
    <row r="46" spans="1:9" ht="27" x14ac:dyDescent="0.85">
      <c r="A46" s="2">
        <v>39</v>
      </c>
      <c r="B46" s="10" t="s">
        <v>63</v>
      </c>
      <c r="C46" s="10" t="s">
        <v>22</v>
      </c>
      <c r="D46" s="2">
        <v>14</v>
      </c>
      <c r="E46" s="2">
        <v>10.5</v>
      </c>
      <c r="F46" s="2">
        <v>5</v>
      </c>
      <c r="G46" s="2">
        <v>2</v>
      </c>
      <c r="H46" s="3">
        <f t="shared" si="0"/>
        <v>7.416666666666667</v>
      </c>
      <c r="I46" s="4"/>
    </row>
    <row r="47" spans="1:9" ht="27" x14ac:dyDescent="0.85">
      <c r="A47" s="2">
        <v>40</v>
      </c>
      <c r="B47" s="10" t="s">
        <v>64</v>
      </c>
      <c r="C47" s="10" t="s">
        <v>22</v>
      </c>
      <c r="D47" s="2">
        <v>16</v>
      </c>
      <c r="E47" s="2">
        <v>15.5</v>
      </c>
      <c r="F47" s="2">
        <v>11</v>
      </c>
      <c r="G47" s="2">
        <v>2</v>
      </c>
      <c r="H47" s="3">
        <f t="shared" si="0"/>
        <v>12.583333333333334</v>
      </c>
      <c r="I47" s="4"/>
    </row>
    <row r="48" spans="1:9" ht="27" x14ac:dyDescent="0.85">
      <c r="A48" s="2">
        <v>41</v>
      </c>
      <c r="B48" s="10" t="s">
        <v>65</v>
      </c>
      <c r="C48" s="10" t="s">
        <v>22</v>
      </c>
      <c r="D48" s="2">
        <v>15</v>
      </c>
      <c r="E48" s="2">
        <v>16</v>
      </c>
      <c r="F48" s="2">
        <v>8</v>
      </c>
      <c r="G48" s="2">
        <v>2</v>
      </c>
      <c r="H48" s="3">
        <f t="shared" si="0"/>
        <v>10.5</v>
      </c>
      <c r="I48" s="4"/>
    </row>
    <row r="49" spans="1:9" ht="27" x14ac:dyDescent="0.85">
      <c r="A49" s="2">
        <v>42</v>
      </c>
      <c r="B49" s="10" t="s">
        <v>66</v>
      </c>
      <c r="C49" s="10" t="s">
        <v>22</v>
      </c>
      <c r="D49" s="2">
        <v>17</v>
      </c>
      <c r="E49" s="2">
        <v>14.5</v>
      </c>
      <c r="F49" s="2">
        <v>14</v>
      </c>
      <c r="G49" s="2">
        <v>2</v>
      </c>
      <c r="H49" s="3">
        <f t="shared" si="0"/>
        <v>14.583333333333334</v>
      </c>
      <c r="I49" s="4"/>
    </row>
    <row r="50" spans="1:9" ht="27" x14ac:dyDescent="0.85">
      <c r="A50" s="2">
        <v>43</v>
      </c>
      <c r="B50" s="10"/>
      <c r="C50" s="10"/>
      <c r="D50" s="2"/>
      <c r="E50" s="2"/>
      <c r="F50" s="2"/>
      <c r="G50" s="2">
        <v>2</v>
      </c>
      <c r="H50" s="3" t="str">
        <f t="shared" si="0"/>
        <v xml:space="preserve"> </v>
      </c>
      <c r="I50" s="4"/>
    </row>
    <row r="51" spans="1:9" ht="27" x14ac:dyDescent="0.85">
      <c r="A51" s="2">
        <v>44</v>
      </c>
      <c r="B51" s="10"/>
      <c r="C51" s="10"/>
      <c r="D51" s="2"/>
      <c r="E51" s="2"/>
      <c r="F51" s="2"/>
      <c r="G51" s="2">
        <v>2</v>
      </c>
      <c r="H51" s="3" t="str">
        <f t="shared" si="0"/>
        <v xml:space="preserve"> </v>
      </c>
      <c r="I51" s="4"/>
    </row>
    <row r="52" spans="1:9" ht="27" x14ac:dyDescent="0.85">
      <c r="A52" s="2">
        <v>45</v>
      </c>
      <c r="B52" s="10"/>
      <c r="C52" s="10"/>
      <c r="D52" s="2"/>
      <c r="E52" s="2"/>
      <c r="F52" s="2"/>
      <c r="G52" s="2">
        <v>2</v>
      </c>
      <c r="H52" s="3" t="str">
        <f t="shared" si="0"/>
        <v xml:space="preserve"> </v>
      </c>
      <c r="I52" s="4"/>
    </row>
    <row r="53" spans="1:9" ht="27" x14ac:dyDescent="0.85">
      <c r="A53" s="2">
        <v>46</v>
      </c>
      <c r="B53" s="10"/>
      <c r="C53" s="10"/>
      <c r="D53" s="2"/>
      <c r="E53" s="2"/>
      <c r="F53" s="2"/>
      <c r="G53" s="2">
        <v>2</v>
      </c>
      <c r="H53" s="3" t="str">
        <f t="shared" si="0"/>
        <v xml:space="preserve"> </v>
      </c>
      <c r="I53" s="4"/>
    </row>
    <row r="54" spans="1:9" ht="27" x14ac:dyDescent="0.85">
      <c r="A54" s="2">
        <v>47</v>
      </c>
      <c r="B54" s="10"/>
      <c r="C54" s="10"/>
      <c r="D54" s="2"/>
      <c r="E54" s="2"/>
      <c r="F54" s="2"/>
      <c r="G54" s="2">
        <v>2</v>
      </c>
      <c r="H54" s="3" t="str">
        <f t="shared" si="0"/>
        <v xml:space="preserve"> </v>
      </c>
      <c r="I54" s="4"/>
    </row>
    <row r="55" spans="1:9" ht="27" x14ac:dyDescent="0.85">
      <c r="A55" s="2">
        <v>48</v>
      </c>
      <c r="B55" s="10"/>
      <c r="C55" s="10"/>
      <c r="D55" s="2"/>
      <c r="E55" s="2"/>
      <c r="F55" s="2"/>
      <c r="G55" s="2">
        <v>2</v>
      </c>
      <c r="H55" s="3" t="str">
        <f t="shared" si="0"/>
        <v xml:space="preserve"> </v>
      </c>
      <c r="I55" s="4"/>
    </row>
    <row r="56" spans="1:9" ht="27" x14ac:dyDescent="0.85">
      <c r="A56" s="2">
        <v>49</v>
      </c>
      <c r="B56" s="10"/>
      <c r="C56" s="10"/>
      <c r="D56" s="2"/>
      <c r="E56" s="2"/>
      <c r="F56" s="2"/>
      <c r="G56" s="2">
        <v>2</v>
      </c>
      <c r="H56" s="3" t="str">
        <f t="shared" si="0"/>
        <v xml:space="preserve"> </v>
      </c>
      <c r="I56" s="4"/>
    </row>
    <row r="57" spans="1:9" ht="27" x14ac:dyDescent="0.85">
      <c r="A57" s="2">
        <v>50</v>
      </c>
      <c r="B57" s="10"/>
      <c r="C57" s="10"/>
      <c r="D57" s="2"/>
      <c r="E57" s="2"/>
      <c r="F57" s="2"/>
      <c r="G57" s="2">
        <v>2</v>
      </c>
      <c r="H57" s="3" t="str">
        <f t="shared" si="0"/>
        <v xml:space="preserve"> </v>
      </c>
      <c r="I57" s="4"/>
    </row>
    <row r="58" spans="1:9" ht="27" x14ac:dyDescent="0.85">
      <c r="A58" s="2">
        <v>51</v>
      </c>
      <c r="B58" s="10"/>
      <c r="C58" s="10"/>
      <c r="D58" s="2"/>
      <c r="E58" s="2"/>
      <c r="F58" s="2"/>
      <c r="G58" s="2">
        <v>2</v>
      </c>
      <c r="H58" s="3" t="str">
        <f t="shared" si="0"/>
        <v xml:space="preserve"> </v>
      </c>
      <c r="I58" s="4"/>
    </row>
    <row r="59" spans="1:9" ht="27" x14ac:dyDescent="0.85">
      <c r="A59" s="2">
        <v>52</v>
      </c>
      <c r="B59" s="10"/>
      <c r="C59" s="10"/>
      <c r="D59" s="2"/>
      <c r="E59" s="2"/>
      <c r="F59" s="2"/>
      <c r="G59" s="2">
        <v>2</v>
      </c>
      <c r="H59" s="3" t="str">
        <f t="shared" si="0"/>
        <v xml:space="preserve"> </v>
      </c>
      <c r="I59" s="4"/>
    </row>
    <row r="60" spans="1:9" ht="27" x14ac:dyDescent="0.85">
      <c r="A60" s="2">
        <v>53</v>
      </c>
      <c r="B60" s="10"/>
      <c r="C60" s="10"/>
      <c r="D60" s="2"/>
      <c r="E60" s="2"/>
      <c r="F60" s="2"/>
      <c r="G60" s="2">
        <v>2</v>
      </c>
      <c r="H60" s="3" t="str">
        <f t="shared" si="0"/>
        <v xml:space="preserve"> </v>
      </c>
      <c r="I60" s="4"/>
    </row>
    <row r="61" spans="1:9" ht="27" x14ac:dyDescent="0.85">
      <c r="A61" s="2">
        <v>54</v>
      </c>
      <c r="B61" s="10"/>
      <c r="C61" s="10"/>
      <c r="D61" s="2"/>
      <c r="E61" s="2"/>
      <c r="F61" s="2"/>
      <c r="G61" s="2">
        <v>2</v>
      </c>
      <c r="H61" s="3" t="str">
        <f t="shared" si="0"/>
        <v xml:space="preserve"> </v>
      </c>
      <c r="I61" s="4"/>
    </row>
    <row r="62" spans="1:9" ht="27" x14ac:dyDescent="0.85">
      <c r="A62" s="2">
        <v>55</v>
      </c>
      <c r="B62" s="10"/>
      <c r="C62" s="10"/>
      <c r="D62" s="2"/>
      <c r="E62" s="2"/>
      <c r="F62" s="2"/>
      <c r="G62" s="2">
        <v>2</v>
      </c>
      <c r="H62" s="3" t="str">
        <f t="shared" si="0"/>
        <v xml:space="preserve"> </v>
      </c>
      <c r="I62" s="4"/>
    </row>
    <row r="63" spans="1:9" ht="27" x14ac:dyDescent="0.85">
      <c r="A63" s="2">
        <v>56</v>
      </c>
      <c r="B63" s="10"/>
      <c r="C63" s="10"/>
      <c r="D63" s="2"/>
      <c r="E63" s="2"/>
      <c r="F63" s="2"/>
      <c r="G63" s="2">
        <v>2</v>
      </c>
      <c r="H63" s="3" t="str">
        <f t="shared" si="0"/>
        <v xml:space="preserve"> </v>
      </c>
      <c r="I63" s="4"/>
    </row>
    <row r="64" spans="1:9" ht="27" x14ac:dyDescent="0.85">
      <c r="A64" s="2">
        <v>57</v>
      </c>
      <c r="B64" s="10"/>
      <c r="C64" s="10"/>
      <c r="D64" s="2"/>
      <c r="E64" s="2"/>
      <c r="F64" s="2"/>
      <c r="G64" s="2">
        <v>2</v>
      </c>
      <c r="H64" s="3" t="str">
        <f t="shared" si="0"/>
        <v xml:space="preserve"> </v>
      </c>
      <c r="I64" s="4"/>
    </row>
    <row r="65" spans="1:9" ht="27" x14ac:dyDescent="0.85">
      <c r="A65" s="2">
        <v>58</v>
      </c>
      <c r="B65" s="10"/>
      <c r="C65" s="10"/>
      <c r="D65" s="2"/>
      <c r="E65" s="2"/>
      <c r="F65" s="2"/>
      <c r="G65" s="2">
        <v>2</v>
      </c>
      <c r="H65" s="3" t="str">
        <f t="shared" si="0"/>
        <v xml:space="preserve"> </v>
      </c>
      <c r="I65" s="4"/>
    </row>
    <row r="66" spans="1:9" ht="27" x14ac:dyDescent="0.85">
      <c r="A66" s="2">
        <v>59</v>
      </c>
      <c r="B66" s="10"/>
      <c r="C66" s="10"/>
      <c r="D66" s="2"/>
      <c r="E66" s="2"/>
      <c r="F66" s="2"/>
      <c r="G66" s="2">
        <v>2</v>
      </c>
      <c r="H66" s="3" t="str">
        <f t="shared" si="0"/>
        <v xml:space="preserve"> </v>
      </c>
      <c r="I66" s="4"/>
    </row>
    <row r="68" spans="1:9" ht="27" x14ac:dyDescent="0.3">
      <c r="B68" s="21" t="s">
        <v>7</v>
      </c>
      <c r="C68" s="22"/>
      <c r="D68" s="5">
        <f>COUNTA(B8:B66)</f>
        <v>42</v>
      </c>
      <c r="E68" s="5"/>
      <c r="G68" s="7"/>
      <c r="H68" s="8"/>
    </row>
    <row r="69" spans="1:9" ht="27" x14ac:dyDescent="0.3">
      <c r="B69" s="21" t="s">
        <v>8</v>
      </c>
      <c r="C69" s="22"/>
      <c r="D69" s="5">
        <f>COUNTIF(H8:H66,"&gt;=10")</f>
        <v>28</v>
      </c>
      <c r="E69" s="6">
        <f>D69/D68</f>
        <v>0.66666666666666663</v>
      </c>
    </row>
    <row r="70" spans="1:9" ht="27" x14ac:dyDescent="0.3">
      <c r="B70" s="21" t="s">
        <v>9</v>
      </c>
      <c r="C70" s="22"/>
      <c r="D70" s="5">
        <f>COUNTIF(H8:H66,"&lt;10")</f>
        <v>14</v>
      </c>
      <c r="E70" s="6">
        <f>D70/D68</f>
        <v>0.33333333333333331</v>
      </c>
    </row>
    <row r="71" spans="1:9" ht="27" x14ac:dyDescent="0.3">
      <c r="B71" s="21" t="s">
        <v>5</v>
      </c>
      <c r="C71" s="22"/>
      <c r="D71" s="23">
        <f>AVERAGE(H8:H66)</f>
        <v>11.53373015873016</v>
      </c>
      <c r="E71" s="24"/>
    </row>
  </sheetData>
  <mergeCells count="7">
    <mergeCell ref="A1:I1"/>
    <mergeCell ref="C2:G4"/>
    <mergeCell ref="D71:E71"/>
    <mergeCell ref="B68:C68"/>
    <mergeCell ref="B69:C69"/>
    <mergeCell ref="B70:C70"/>
    <mergeCell ref="B71:C71"/>
  </mergeCells>
  <conditionalFormatting sqref="H8:H66">
    <cfRule type="cellIs" dxfId="2" priority="1" operator="greaterThan">
      <formula>9.99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F9FC-4AAC-4CFB-BC3C-DE68160A2340}">
  <dimension ref="A1:I71"/>
  <sheetViews>
    <sheetView rightToLeft="1" topLeftCell="A40" zoomScale="85" zoomScaleNormal="85" workbookViewId="0">
      <selection activeCell="E50" sqref="E50"/>
    </sheetView>
  </sheetViews>
  <sheetFormatPr defaultRowHeight="14.4" x14ac:dyDescent="0.3"/>
  <cols>
    <col min="1" max="1" width="4.6640625" customWidth="1"/>
    <col min="2" max="3" width="16.21875" customWidth="1"/>
    <col min="4" max="4" width="9" bestFit="1" customWidth="1"/>
    <col min="5" max="5" width="11.33203125" bestFit="1" customWidth="1"/>
    <col min="8" max="8" width="12.88671875" style="1" customWidth="1"/>
    <col min="9" max="9" width="16.21875" customWidth="1"/>
  </cols>
  <sheetData>
    <row r="1" spans="1:9" ht="27" x14ac:dyDescent="0.85">
      <c r="A1" s="25" t="s">
        <v>68</v>
      </c>
      <c r="B1" s="25"/>
      <c r="C1" s="25"/>
      <c r="D1" s="25"/>
      <c r="E1" s="25"/>
      <c r="F1" s="25"/>
      <c r="G1" s="25"/>
      <c r="H1" s="25"/>
      <c r="I1" s="25"/>
    </row>
    <row r="2" spans="1:9" ht="22.2" customHeight="1" x14ac:dyDescent="0.3">
      <c r="C2" s="26" t="s">
        <v>12</v>
      </c>
      <c r="D2" s="26"/>
      <c r="E2" s="26"/>
      <c r="F2" s="26"/>
      <c r="G2" s="26"/>
      <c r="I2" s="12" t="s">
        <v>77</v>
      </c>
    </row>
    <row r="3" spans="1:9" ht="14.4" customHeight="1" x14ac:dyDescent="0.3">
      <c r="C3" s="26"/>
      <c r="D3" s="26"/>
      <c r="E3" s="26"/>
      <c r="F3" s="26"/>
      <c r="G3" s="26"/>
      <c r="I3" s="13"/>
    </row>
    <row r="4" spans="1:9" x14ac:dyDescent="0.3">
      <c r="C4" s="26"/>
      <c r="D4" s="26"/>
      <c r="E4" s="26"/>
      <c r="F4" s="26"/>
      <c r="G4" s="26"/>
    </row>
    <row r="5" spans="1:9" ht="15.6" x14ac:dyDescent="0.3">
      <c r="B5" s="11" t="s">
        <v>76</v>
      </c>
    </row>
    <row r="6" spans="1:9" ht="15.6" x14ac:dyDescent="0.3">
      <c r="B6" s="11" t="s">
        <v>13</v>
      </c>
    </row>
    <row r="7" spans="1:9" s="1" customFormat="1" ht="27" x14ac:dyDescent="0.85">
      <c r="A7" s="9" t="s">
        <v>0</v>
      </c>
      <c r="B7" s="9" t="s">
        <v>10</v>
      </c>
      <c r="C7" s="9" t="s">
        <v>11</v>
      </c>
      <c r="D7" s="9" t="s">
        <v>1</v>
      </c>
      <c r="E7" s="9" t="s">
        <v>2</v>
      </c>
      <c r="F7" s="9" t="s">
        <v>3</v>
      </c>
      <c r="G7" s="9" t="s">
        <v>4</v>
      </c>
      <c r="H7" s="9" t="s">
        <v>5</v>
      </c>
      <c r="I7" s="9" t="s">
        <v>6</v>
      </c>
    </row>
    <row r="8" spans="1:9" ht="27" x14ac:dyDescent="0.85">
      <c r="A8" s="2">
        <v>1</v>
      </c>
      <c r="B8" s="10" t="s">
        <v>25</v>
      </c>
      <c r="C8" s="10" t="s">
        <v>22</v>
      </c>
      <c r="D8" s="2">
        <v>16</v>
      </c>
      <c r="E8" s="2">
        <v>13.5</v>
      </c>
      <c r="F8" s="2">
        <v>8</v>
      </c>
      <c r="G8" s="2">
        <v>2</v>
      </c>
      <c r="H8" s="3">
        <f>IF(ISBLANK(B8)," ",(D8+E8+F8*4)/6)</f>
        <v>10.25</v>
      </c>
      <c r="I8" s="4"/>
    </row>
    <row r="9" spans="1:9" ht="27" x14ac:dyDescent="0.85">
      <c r="A9" s="2">
        <v>2</v>
      </c>
      <c r="B9" s="10" t="s">
        <v>26</v>
      </c>
      <c r="C9" s="10" t="s">
        <v>22</v>
      </c>
      <c r="D9" s="2">
        <v>16</v>
      </c>
      <c r="E9" s="2">
        <v>8</v>
      </c>
      <c r="F9" s="2">
        <v>4</v>
      </c>
      <c r="G9" s="2">
        <v>2</v>
      </c>
      <c r="H9" s="3">
        <f t="shared" ref="H9:H66" si="0">IF(ISBLANK(B9)," ",(D9+E9+F9*4)/6)</f>
        <v>6.666666666666667</v>
      </c>
      <c r="I9" s="4"/>
    </row>
    <row r="10" spans="1:9" ht="27" x14ac:dyDescent="0.85">
      <c r="A10" s="2">
        <v>3</v>
      </c>
      <c r="B10" s="10" t="s">
        <v>27</v>
      </c>
      <c r="C10" s="10" t="s">
        <v>22</v>
      </c>
      <c r="D10" s="2">
        <v>16</v>
      </c>
      <c r="E10" s="2">
        <v>5</v>
      </c>
      <c r="F10" s="2">
        <v>11.5</v>
      </c>
      <c r="G10" s="2">
        <v>2</v>
      </c>
      <c r="H10" s="3">
        <f t="shared" si="0"/>
        <v>11.166666666666666</v>
      </c>
      <c r="I10" s="4"/>
    </row>
    <row r="11" spans="1:9" ht="27" x14ac:dyDescent="0.85">
      <c r="A11" s="2">
        <v>4</v>
      </c>
      <c r="B11" s="10" t="s">
        <v>28</v>
      </c>
      <c r="C11" s="10" t="s">
        <v>22</v>
      </c>
      <c r="D11" s="2">
        <v>16</v>
      </c>
      <c r="E11" s="2">
        <v>14</v>
      </c>
      <c r="F11" s="2">
        <v>7</v>
      </c>
      <c r="G11" s="2">
        <v>2</v>
      </c>
      <c r="H11" s="3">
        <f t="shared" si="0"/>
        <v>9.6666666666666661</v>
      </c>
      <c r="I11" s="4"/>
    </row>
    <row r="12" spans="1:9" ht="27" x14ac:dyDescent="0.85">
      <c r="A12" s="2">
        <v>5</v>
      </c>
      <c r="B12" s="10" t="s">
        <v>29</v>
      </c>
      <c r="C12" s="10" t="s">
        <v>22</v>
      </c>
      <c r="D12" s="2">
        <v>14</v>
      </c>
      <c r="E12" s="2">
        <v>12.5</v>
      </c>
      <c r="F12" s="2">
        <v>5.5</v>
      </c>
      <c r="G12" s="2">
        <v>2</v>
      </c>
      <c r="H12" s="3">
        <f t="shared" si="0"/>
        <v>8.0833333333333339</v>
      </c>
      <c r="I12" s="4"/>
    </row>
    <row r="13" spans="1:9" ht="27" x14ac:dyDescent="0.85">
      <c r="A13" s="2">
        <v>6</v>
      </c>
      <c r="B13" s="10" t="s">
        <v>30</v>
      </c>
      <c r="C13" s="10" t="s">
        <v>22</v>
      </c>
      <c r="D13" s="2">
        <v>17</v>
      </c>
      <c r="E13" s="2">
        <v>18.5</v>
      </c>
      <c r="F13" s="2">
        <v>9.5</v>
      </c>
      <c r="G13" s="2">
        <v>2</v>
      </c>
      <c r="H13" s="3">
        <f t="shared" si="0"/>
        <v>12.25</v>
      </c>
      <c r="I13" s="4"/>
    </row>
    <row r="14" spans="1:9" ht="27" x14ac:dyDescent="0.85">
      <c r="A14" s="2">
        <v>7</v>
      </c>
      <c r="B14" s="10" t="s">
        <v>31</v>
      </c>
      <c r="C14" s="10" t="s">
        <v>22</v>
      </c>
      <c r="D14" s="2">
        <v>16</v>
      </c>
      <c r="E14" s="2">
        <v>11.5</v>
      </c>
      <c r="F14" s="2">
        <v>7</v>
      </c>
      <c r="G14" s="2">
        <v>2</v>
      </c>
      <c r="H14" s="3">
        <f t="shared" si="0"/>
        <v>9.25</v>
      </c>
      <c r="I14" s="4"/>
    </row>
    <row r="15" spans="1:9" ht="27" x14ac:dyDescent="0.85">
      <c r="A15" s="2">
        <v>8</v>
      </c>
      <c r="B15" s="10" t="s">
        <v>32</v>
      </c>
      <c r="C15" s="10" t="s">
        <v>22</v>
      </c>
      <c r="D15" s="2">
        <v>15</v>
      </c>
      <c r="E15" s="2">
        <v>16</v>
      </c>
      <c r="F15" s="2">
        <v>14.5</v>
      </c>
      <c r="G15" s="2">
        <v>2</v>
      </c>
      <c r="H15" s="3">
        <f t="shared" si="0"/>
        <v>14.833333333333334</v>
      </c>
      <c r="I15" s="4"/>
    </row>
    <row r="16" spans="1:9" ht="27" x14ac:dyDescent="0.85">
      <c r="A16" s="2">
        <v>9</v>
      </c>
      <c r="B16" s="10" t="s">
        <v>33</v>
      </c>
      <c r="C16" s="10" t="s">
        <v>22</v>
      </c>
      <c r="D16" s="2">
        <v>17</v>
      </c>
      <c r="E16" s="2">
        <v>16</v>
      </c>
      <c r="F16" s="2">
        <v>15.5</v>
      </c>
      <c r="G16" s="2">
        <v>2</v>
      </c>
      <c r="H16" s="3">
        <f t="shared" si="0"/>
        <v>15.833333333333334</v>
      </c>
      <c r="I16" s="4"/>
    </row>
    <row r="17" spans="1:9" ht="27" x14ac:dyDescent="0.85">
      <c r="A17" s="2">
        <v>10</v>
      </c>
      <c r="B17" s="10" t="s">
        <v>34</v>
      </c>
      <c r="C17" s="10" t="s">
        <v>22</v>
      </c>
      <c r="D17" s="2">
        <v>15</v>
      </c>
      <c r="E17" s="2">
        <v>16</v>
      </c>
      <c r="F17" s="2">
        <v>7</v>
      </c>
      <c r="G17" s="2">
        <v>2</v>
      </c>
      <c r="H17" s="3">
        <f t="shared" si="0"/>
        <v>9.8333333333333339</v>
      </c>
      <c r="I17" s="4"/>
    </row>
    <row r="18" spans="1:9" ht="27" x14ac:dyDescent="0.85">
      <c r="A18" s="2">
        <v>11</v>
      </c>
      <c r="B18" s="10" t="s">
        <v>35</v>
      </c>
      <c r="C18" s="10" t="s">
        <v>22</v>
      </c>
      <c r="D18" s="2">
        <v>16</v>
      </c>
      <c r="E18" s="2">
        <v>14</v>
      </c>
      <c r="F18" s="2">
        <v>11.5</v>
      </c>
      <c r="G18" s="2">
        <v>2</v>
      </c>
      <c r="H18" s="3">
        <f t="shared" si="0"/>
        <v>12.666666666666666</v>
      </c>
      <c r="I18" s="4"/>
    </row>
    <row r="19" spans="1:9" ht="27" x14ac:dyDescent="0.85">
      <c r="A19" s="2">
        <v>12</v>
      </c>
      <c r="B19" s="10" t="s">
        <v>36</v>
      </c>
      <c r="C19" s="10" t="s">
        <v>22</v>
      </c>
      <c r="D19" s="2">
        <v>15</v>
      </c>
      <c r="E19" s="2">
        <v>11</v>
      </c>
      <c r="F19" s="2">
        <v>9.5</v>
      </c>
      <c r="G19" s="2">
        <v>2</v>
      </c>
      <c r="H19" s="3">
        <f t="shared" si="0"/>
        <v>10.666666666666666</v>
      </c>
      <c r="I19" s="4"/>
    </row>
    <row r="20" spans="1:9" ht="27" x14ac:dyDescent="0.85">
      <c r="A20" s="2">
        <v>13</v>
      </c>
      <c r="B20" s="10" t="s">
        <v>37</v>
      </c>
      <c r="C20" s="10" t="s">
        <v>22</v>
      </c>
      <c r="D20" s="2">
        <v>15</v>
      </c>
      <c r="E20" s="2">
        <v>16</v>
      </c>
      <c r="F20" s="2">
        <v>10</v>
      </c>
      <c r="G20" s="2">
        <v>2</v>
      </c>
      <c r="H20" s="3">
        <f t="shared" si="0"/>
        <v>11.833333333333334</v>
      </c>
      <c r="I20" s="4"/>
    </row>
    <row r="21" spans="1:9" ht="27" x14ac:dyDescent="0.85">
      <c r="A21" s="2">
        <v>14</v>
      </c>
      <c r="B21" s="10" t="s">
        <v>38</v>
      </c>
      <c r="C21" s="10" t="s">
        <v>22</v>
      </c>
      <c r="D21" s="2">
        <v>16</v>
      </c>
      <c r="E21" s="2">
        <v>12</v>
      </c>
      <c r="F21" s="2">
        <v>13</v>
      </c>
      <c r="G21" s="2">
        <v>2</v>
      </c>
      <c r="H21" s="3">
        <f t="shared" si="0"/>
        <v>13.333333333333334</v>
      </c>
      <c r="I21" s="4"/>
    </row>
    <row r="22" spans="1:9" ht="27" x14ac:dyDescent="0.85">
      <c r="A22" s="2">
        <v>15</v>
      </c>
      <c r="B22" s="10" t="s">
        <v>39</v>
      </c>
      <c r="C22" s="10" t="s">
        <v>22</v>
      </c>
      <c r="D22" s="2">
        <v>15</v>
      </c>
      <c r="E22" s="2">
        <v>7</v>
      </c>
      <c r="F22" s="2">
        <v>2</v>
      </c>
      <c r="G22" s="2">
        <v>2</v>
      </c>
      <c r="H22" s="3">
        <f t="shared" si="0"/>
        <v>5</v>
      </c>
      <c r="I22" s="4"/>
    </row>
    <row r="23" spans="1:9" ht="27" x14ac:dyDescent="0.85">
      <c r="A23" s="2">
        <v>16</v>
      </c>
      <c r="B23" s="10" t="s">
        <v>40</v>
      </c>
      <c r="C23" s="10" t="s">
        <v>22</v>
      </c>
      <c r="D23" s="2">
        <v>15</v>
      </c>
      <c r="E23" s="2">
        <v>8.5</v>
      </c>
      <c r="F23" s="2">
        <v>7</v>
      </c>
      <c r="G23" s="2">
        <v>2</v>
      </c>
      <c r="H23" s="3">
        <f t="shared" si="0"/>
        <v>8.5833333333333339</v>
      </c>
      <c r="I23" s="4"/>
    </row>
    <row r="24" spans="1:9" ht="27" x14ac:dyDescent="0.85">
      <c r="A24" s="2">
        <v>17</v>
      </c>
      <c r="B24" s="10" t="s">
        <v>41</v>
      </c>
      <c r="C24" s="10" t="s">
        <v>22</v>
      </c>
      <c r="D24" s="2">
        <v>15</v>
      </c>
      <c r="E24" s="2">
        <v>11.5</v>
      </c>
      <c r="F24" s="2">
        <v>8.5</v>
      </c>
      <c r="G24" s="2">
        <v>2</v>
      </c>
      <c r="H24" s="3">
        <f t="shared" si="0"/>
        <v>10.083333333333334</v>
      </c>
      <c r="I24" s="4"/>
    </row>
    <row r="25" spans="1:9" ht="27" x14ac:dyDescent="0.85">
      <c r="A25" s="2">
        <v>18</v>
      </c>
      <c r="B25" s="10" t="s">
        <v>42</v>
      </c>
      <c r="C25" s="10" t="s">
        <v>22</v>
      </c>
      <c r="D25" s="2">
        <v>16</v>
      </c>
      <c r="E25" s="2">
        <v>19</v>
      </c>
      <c r="F25" s="2">
        <v>11.5</v>
      </c>
      <c r="G25" s="2">
        <v>2</v>
      </c>
      <c r="H25" s="3">
        <f t="shared" si="0"/>
        <v>13.5</v>
      </c>
      <c r="I25" s="4"/>
    </row>
    <row r="26" spans="1:9" ht="27" x14ac:dyDescent="0.85">
      <c r="A26" s="2">
        <v>19</v>
      </c>
      <c r="B26" s="10" t="s">
        <v>43</v>
      </c>
      <c r="C26" s="10" t="s">
        <v>22</v>
      </c>
      <c r="D26" s="2">
        <v>16</v>
      </c>
      <c r="E26" s="2">
        <v>10.5</v>
      </c>
      <c r="F26" s="2">
        <v>14</v>
      </c>
      <c r="G26" s="2">
        <v>2</v>
      </c>
      <c r="H26" s="3">
        <f t="shared" si="0"/>
        <v>13.75</v>
      </c>
      <c r="I26" s="4"/>
    </row>
    <row r="27" spans="1:9" ht="27" x14ac:dyDescent="0.85">
      <c r="A27" s="2">
        <v>20</v>
      </c>
      <c r="B27" s="10" t="s">
        <v>44</v>
      </c>
      <c r="C27" s="10" t="s">
        <v>22</v>
      </c>
      <c r="D27" s="2">
        <v>17</v>
      </c>
      <c r="E27" s="2">
        <v>15</v>
      </c>
      <c r="F27" s="2">
        <v>14.5</v>
      </c>
      <c r="G27" s="2">
        <v>2</v>
      </c>
      <c r="H27" s="3">
        <f t="shared" si="0"/>
        <v>15</v>
      </c>
      <c r="I27" s="4"/>
    </row>
    <row r="28" spans="1:9" ht="27" x14ac:dyDescent="0.85">
      <c r="A28" s="2">
        <v>21</v>
      </c>
      <c r="B28" s="10" t="s">
        <v>45</v>
      </c>
      <c r="C28" s="10" t="s">
        <v>22</v>
      </c>
      <c r="D28" s="2">
        <v>16</v>
      </c>
      <c r="E28" s="2">
        <v>14</v>
      </c>
      <c r="F28" s="2">
        <v>12.5</v>
      </c>
      <c r="G28" s="2">
        <v>2</v>
      </c>
      <c r="H28" s="3">
        <f t="shared" si="0"/>
        <v>13.333333333333334</v>
      </c>
      <c r="I28" s="4"/>
    </row>
    <row r="29" spans="1:9" ht="27" x14ac:dyDescent="0.85">
      <c r="A29" s="2">
        <v>22</v>
      </c>
      <c r="B29" s="10" t="s">
        <v>46</v>
      </c>
      <c r="C29" s="10" t="s">
        <v>22</v>
      </c>
      <c r="D29" s="2">
        <v>15</v>
      </c>
      <c r="E29" s="2">
        <v>9</v>
      </c>
      <c r="F29" s="2">
        <v>9.5</v>
      </c>
      <c r="G29" s="2">
        <v>2</v>
      </c>
      <c r="H29" s="3">
        <f t="shared" si="0"/>
        <v>10.333333333333334</v>
      </c>
      <c r="I29" s="4"/>
    </row>
    <row r="30" spans="1:9" ht="27" x14ac:dyDescent="0.85">
      <c r="A30" s="2">
        <v>23</v>
      </c>
      <c r="B30" s="10" t="s">
        <v>47</v>
      </c>
      <c r="C30" s="10" t="s">
        <v>22</v>
      </c>
      <c r="D30" s="2">
        <v>17</v>
      </c>
      <c r="E30" s="2">
        <v>15</v>
      </c>
      <c r="F30" s="2">
        <v>15</v>
      </c>
      <c r="G30" s="2">
        <v>2</v>
      </c>
      <c r="H30" s="3">
        <f t="shared" si="0"/>
        <v>15.333333333333334</v>
      </c>
      <c r="I30" s="4"/>
    </row>
    <row r="31" spans="1:9" ht="27" x14ac:dyDescent="0.85">
      <c r="A31" s="2">
        <v>24</v>
      </c>
      <c r="B31" s="10" t="s">
        <v>48</v>
      </c>
      <c r="C31" s="10" t="s">
        <v>22</v>
      </c>
      <c r="D31" s="2">
        <v>15</v>
      </c>
      <c r="E31" s="2">
        <v>13.5</v>
      </c>
      <c r="F31" s="2">
        <v>10</v>
      </c>
      <c r="G31" s="2">
        <v>2</v>
      </c>
      <c r="H31" s="3">
        <f t="shared" si="0"/>
        <v>11.416666666666666</v>
      </c>
      <c r="I31" s="4"/>
    </row>
    <row r="32" spans="1:9" ht="27" x14ac:dyDescent="0.85">
      <c r="A32" s="2">
        <v>25</v>
      </c>
      <c r="B32" s="10" t="s">
        <v>49</v>
      </c>
      <c r="C32" s="10" t="s">
        <v>22</v>
      </c>
      <c r="D32" s="2">
        <v>18</v>
      </c>
      <c r="E32" s="2">
        <v>19</v>
      </c>
      <c r="F32" s="2">
        <v>19</v>
      </c>
      <c r="G32" s="2">
        <v>2</v>
      </c>
      <c r="H32" s="3">
        <f t="shared" si="0"/>
        <v>18.833333333333332</v>
      </c>
      <c r="I32" s="4"/>
    </row>
    <row r="33" spans="1:9" ht="27" x14ac:dyDescent="0.85">
      <c r="A33" s="2">
        <v>26</v>
      </c>
      <c r="B33" s="10" t="s">
        <v>50</v>
      </c>
      <c r="C33" s="10" t="s">
        <v>22</v>
      </c>
      <c r="D33" s="2">
        <v>14</v>
      </c>
      <c r="E33" s="2">
        <v>7.5</v>
      </c>
      <c r="F33" s="2">
        <v>6.5</v>
      </c>
      <c r="G33" s="2">
        <v>2</v>
      </c>
      <c r="H33" s="3">
        <f t="shared" si="0"/>
        <v>7.916666666666667</v>
      </c>
      <c r="I33" s="4"/>
    </row>
    <row r="34" spans="1:9" ht="27" x14ac:dyDescent="0.85">
      <c r="A34" s="2">
        <v>27</v>
      </c>
      <c r="B34" s="10" t="s">
        <v>51</v>
      </c>
      <c r="C34" s="10" t="s">
        <v>22</v>
      </c>
      <c r="D34" s="2">
        <v>12</v>
      </c>
      <c r="E34" s="2">
        <v>8.5</v>
      </c>
      <c r="F34" s="2">
        <v>7</v>
      </c>
      <c r="G34" s="2">
        <v>2</v>
      </c>
      <c r="H34" s="3">
        <f t="shared" si="0"/>
        <v>8.0833333333333339</v>
      </c>
      <c r="I34" s="4"/>
    </row>
    <row r="35" spans="1:9" ht="27" x14ac:dyDescent="0.85">
      <c r="A35" s="2">
        <v>28</v>
      </c>
      <c r="B35" s="10" t="s">
        <v>52</v>
      </c>
      <c r="C35" s="10" t="s">
        <v>22</v>
      </c>
      <c r="D35" s="2">
        <v>18</v>
      </c>
      <c r="E35" s="2">
        <v>19</v>
      </c>
      <c r="F35" s="2">
        <v>19</v>
      </c>
      <c r="G35" s="2">
        <v>2</v>
      </c>
      <c r="H35" s="3">
        <f t="shared" si="0"/>
        <v>18.833333333333332</v>
      </c>
      <c r="I35" s="4"/>
    </row>
    <row r="36" spans="1:9" ht="27" x14ac:dyDescent="0.85">
      <c r="A36" s="2">
        <v>29</v>
      </c>
      <c r="B36" s="10" t="s">
        <v>53</v>
      </c>
      <c r="C36" s="10" t="s">
        <v>22</v>
      </c>
      <c r="D36" s="2">
        <v>15</v>
      </c>
      <c r="E36" s="2">
        <v>11.5</v>
      </c>
      <c r="F36" s="2">
        <v>6</v>
      </c>
      <c r="G36" s="2">
        <v>2</v>
      </c>
      <c r="H36" s="3">
        <f t="shared" si="0"/>
        <v>8.4166666666666661</v>
      </c>
      <c r="I36" s="4"/>
    </row>
    <row r="37" spans="1:9" ht="27" x14ac:dyDescent="0.85">
      <c r="A37" s="2">
        <v>30</v>
      </c>
      <c r="B37" s="10" t="s">
        <v>54</v>
      </c>
      <c r="C37" s="10" t="s">
        <v>22</v>
      </c>
      <c r="D37" s="2">
        <v>16</v>
      </c>
      <c r="E37" s="2">
        <v>16</v>
      </c>
      <c r="F37" s="2">
        <v>9.5</v>
      </c>
      <c r="G37" s="2">
        <v>2</v>
      </c>
      <c r="H37" s="3">
        <f t="shared" si="0"/>
        <v>11.666666666666666</v>
      </c>
      <c r="I37" s="4"/>
    </row>
    <row r="38" spans="1:9" ht="27" x14ac:dyDescent="0.85">
      <c r="A38" s="2">
        <v>31</v>
      </c>
      <c r="B38" s="10" t="s">
        <v>55</v>
      </c>
      <c r="C38" s="10" t="s">
        <v>22</v>
      </c>
      <c r="D38" s="2">
        <v>16</v>
      </c>
      <c r="E38" s="2">
        <v>13.5</v>
      </c>
      <c r="F38" s="2">
        <v>12</v>
      </c>
      <c r="G38" s="2">
        <v>2</v>
      </c>
      <c r="H38" s="3">
        <f t="shared" si="0"/>
        <v>12.916666666666666</v>
      </c>
      <c r="I38" s="4"/>
    </row>
    <row r="39" spans="1:9" ht="27" x14ac:dyDescent="0.85">
      <c r="A39" s="2">
        <v>32</v>
      </c>
      <c r="B39" s="10" t="s">
        <v>56</v>
      </c>
      <c r="C39" s="10" t="s">
        <v>22</v>
      </c>
      <c r="D39" s="2">
        <v>16</v>
      </c>
      <c r="E39" s="2">
        <v>7.5</v>
      </c>
      <c r="F39" s="2">
        <v>10</v>
      </c>
      <c r="G39" s="2">
        <v>2</v>
      </c>
      <c r="H39" s="3">
        <f t="shared" si="0"/>
        <v>10.583333333333334</v>
      </c>
      <c r="I39" s="4"/>
    </row>
    <row r="40" spans="1:9" ht="27" x14ac:dyDescent="0.85">
      <c r="A40" s="2">
        <v>33</v>
      </c>
      <c r="B40" s="10" t="s">
        <v>57</v>
      </c>
      <c r="C40" s="10" t="s">
        <v>22</v>
      </c>
      <c r="D40" s="2">
        <v>15</v>
      </c>
      <c r="E40" s="2">
        <v>7</v>
      </c>
      <c r="F40" s="2">
        <v>5.5</v>
      </c>
      <c r="G40" s="2">
        <v>2</v>
      </c>
      <c r="H40" s="3">
        <f t="shared" si="0"/>
        <v>7.333333333333333</v>
      </c>
      <c r="I40" s="4"/>
    </row>
    <row r="41" spans="1:9" ht="27" x14ac:dyDescent="0.85">
      <c r="A41" s="2">
        <v>34</v>
      </c>
      <c r="B41" s="10" t="s">
        <v>58</v>
      </c>
      <c r="C41" s="10" t="s">
        <v>22</v>
      </c>
      <c r="D41" s="2">
        <v>16</v>
      </c>
      <c r="E41" s="2">
        <v>7.5</v>
      </c>
      <c r="F41" s="2">
        <v>8.5</v>
      </c>
      <c r="G41" s="2">
        <v>2</v>
      </c>
      <c r="H41" s="3">
        <f t="shared" si="0"/>
        <v>9.5833333333333339</v>
      </c>
      <c r="I41" s="4"/>
    </row>
    <row r="42" spans="1:9" ht="27" x14ac:dyDescent="0.85">
      <c r="A42" s="2">
        <v>35</v>
      </c>
      <c r="B42" s="10" t="s">
        <v>59</v>
      </c>
      <c r="C42" s="10" t="s">
        <v>22</v>
      </c>
      <c r="D42" s="2">
        <v>17</v>
      </c>
      <c r="E42" s="2">
        <v>15</v>
      </c>
      <c r="F42" s="2">
        <v>12.5</v>
      </c>
      <c r="G42" s="2">
        <v>2</v>
      </c>
      <c r="H42" s="3">
        <f t="shared" si="0"/>
        <v>13.666666666666666</v>
      </c>
      <c r="I42" s="4"/>
    </row>
    <row r="43" spans="1:9" ht="27" x14ac:dyDescent="0.85">
      <c r="A43" s="2">
        <v>36</v>
      </c>
      <c r="B43" s="10" t="s">
        <v>60</v>
      </c>
      <c r="C43" s="10" t="s">
        <v>22</v>
      </c>
      <c r="D43" s="2">
        <v>14</v>
      </c>
      <c r="E43" s="2">
        <v>11</v>
      </c>
      <c r="F43" s="2">
        <v>5.5</v>
      </c>
      <c r="G43" s="2">
        <v>2</v>
      </c>
      <c r="H43" s="3">
        <f t="shared" si="0"/>
        <v>7.833333333333333</v>
      </c>
      <c r="I43" s="4"/>
    </row>
    <row r="44" spans="1:9" ht="27" x14ac:dyDescent="0.85">
      <c r="A44" s="2">
        <v>37</v>
      </c>
      <c r="B44" s="10" t="s">
        <v>61</v>
      </c>
      <c r="C44" s="10" t="s">
        <v>22</v>
      </c>
      <c r="D44" s="2">
        <v>16</v>
      </c>
      <c r="E44" s="2">
        <v>13</v>
      </c>
      <c r="F44" s="2">
        <v>11</v>
      </c>
      <c r="G44" s="2">
        <v>2</v>
      </c>
      <c r="H44" s="3">
        <f t="shared" si="0"/>
        <v>12.166666666666666</v>
      </c>
      <c r="I44" s="4"/>
    </row>
    <row r="45" spans="1:9" ht="27" x14ac:dyDescent="0.85">
      <c r="A45" s="2">
        <v>38</v>
      </c>
      <c r="B45" s="10" t="s">
        <v>62</v>
      </c>
      <c r="C45" s="10" t="s">
        <v>22</v>
      </c>
      <c r="D45" s="2">
        <v>18</v>
      </c>
      <c r="E45" s="2">
        <v>19</v>
      </c>
      <c r="F45" s="2">
        <v>19</v>
      </c>
      <c r="G45" s="2">
        <v>2</v>
      </c>
      <c r="H45" s="3">
        <f t="shared" si="0"/>
        <v>18.833333333333332</v>
      </c>
      <c r="I45" s="4"/>
    </row>
    <row r="46" spans="1:9" ht="27" x14ac:dyDescent="0.85">
      <c r="A46" s="2">
        <v>39</v>
      </c>
      <c r="B46" s="10" t="s">
        <v>63</v>
      </c>
      <c r="C46" s="10" t="s">
        <v>22</v>
      </c>
      <c r="D46" s="2">
        <v>14</v>
      </c>
      <c r="E46" s="2">
        <v>10.5</v>
      </c>
      <c r="F46" s="2">
        <v>5</v>
      </c>
      <c r="G46" s="2">
        <v>2</v>
      </c>
      <c r="H46" s="3">
        <f t="shared" si="0"/>
        <v>7.416666666666667</v>
      </c>
      <c r="I46" s="4"/>
    </row>
    <row r="47" spans="1:9" ht="27" x14ac:dyDescent="0.85">
      <c r="A47" s="2">
        <v>40</v>
      </c>
      <c r="B47" s="10" t="s">
        <v>64</v>
      </c>
      <c r="C47" s="10" t="s">
        <v>22</v>
      </c>
      <c r="D47" s="2">
        <v>16</v>
      </c>
      <c r="E47" s="2">
        <v>15.5</v>
      </c>
      <c r="F47" s="2">
        <v>11</v>
      </c>
      <c r="G47" s="2">
        <v>2</v>
      </c>
      <c r="H47" s="3">
        <f t="shared" si="0"/>
        <v>12.583333333333334</v>
      </c>
      <c r="I47" s="4"/>
    </row>
    <row r="48" spans="1:9" ht="27" x14ac:dyDescent="0.85">
      <c r="A48" s="2">
        <v>41</v>
      </c>
      <c r="B48" s="10" t="s">
        <v>65</v>
      </c>
      <c r="C48" s="10" t="s">
        <v>22</v>
      </c>
      <c r="D48" s="2">
        <v>15</v>
      </c>
      <c r="E48" s="2">
        <v>16</v>
      </c>
      <c r="F48" s="2">
        <v>8</v>
      </c>
      <c r="G48" s="2">
        <v>2</v>
      </c>
      <c r="H48" s="3">
        <f t="shared" si="0"/>
        <v>10.5</v>
      </c>
      <c r="I48" s="4"/>
    </row>
    <row r="49" spans="1:9" ht="27" x14ac:dyDescent="0.85">
      <c r="A49" s="2">
        <v>42</v>
      </c>
      <c r="B49" s="10" t="s">
        <v>66</v>
      </c>
      <c r="C49" s="10" t="s">
        <v>22</v>
      </c>
      <c r="D49" s="2">
        <v>17</v>
      </c>
      <c r="E49" s="2">
        <v>14.5</v>
      </c>
      <c r="F49" s="2">
        <v>14</v>
      </c>
      <c r="G49" s="2">
        <v>2</v>
      </c>
      <c r="H49" s="3">
        <f t="shared" si="0"/>
        <v>14.583333333333334</v>
      </c>
      <c r="I49" s="4"/>
    </row>
    <row r="50" spans="1:9" ht="27" x14ac:dyDescent="0.85">
      <c r="A50" s="2">
        <v>43</v>
      </c>
      <c r="B50" s="10" t="s">
        <v>67</v>
      </c>
      <c r="C50" s="10" t="s">
        <v>22</v>
      </c>
      <c r="D50" s="2">
        <v>17</v>
      </c>
      <c r="E50" s="2">
        <v>14.5</v>
      </c>
      <c r="F50" s="2">
        <v>14</v>
      </c>
      <c r="G50" s="2">
        <v>2</v>
      </c>
      <c r="H50" s="3">
        <f t="shared" si="0"/>
        <v>14.583333333333334</v>
      </c>
      <c r="I50" s="4"/>
    </row>
    <row r="51" spans="1:9" ht="27" x14ac:dyDescent="0.85">
      <c r="A51" s="2">
        <v>44</v>
      </c>
      <c r="B51" s="10" t="s">
        <v>79</v>
      </c>
      <c r="C51" s="10" t="s">
        <v>22</v>
      </c>
      <c r="D51" s="2">
        <v>17</v>
      </c>
      <c r="E51" s="2">
        <v>14.5</v>
      </c>
      <c r="F51" s="2">
        <v>14</v>
      </c>
      <c r="G51" s="2">
        <v>2</v>
      </c>
      <c r="H51" s="3">
        <f t="shared" si="0"/>
        <v>14.583333333333334</v>
      </c>
      <c r="I51" s="4"/>
    </row>
    <row r="52" spans="1:9" ht="27" x14ac:dyDescent="0.85">
      <c r="A52" s="2">
        <v>45</v>
      </c>
      <c r="B52" s="10" t="s">
        <v>80</v>
      </c>
      <c r="C52" s="10" t="s">
        <v>22</v>
      </c>
      <c r="D52" s="2">
        <v>17</v>
      </c>
      <c r="E52" s="2">
        <v>14.5</v>
      </c>
      <c r="F52" s="2">
        <v>14</v>
      </c>
      <c r="G52" s="2">
        <v>2</v>
      </c>
      <c r="H52" s="3">
        <f t="shared" si="0"/>
        <v>14.583333333333334</v>
      </c>
      <c r="I52" s="4"/>
    </row>
    <row r="53" spans="1:9" ht="27" x14ac:dyDescent="0.85">
      <c r="A53" s="2">
        <v>46</v>
      </c>
      <c r="B53" s="10" t="s">
        <v>81</v>
      </c>
      <c r="C53" s="10" t="s">
        <v>22</v>
      </c>
      <c r="D53" s="2">
        <v>17</v>
      </c>
      <c r="E53" s="2">
        <v>14.5</v>
      </c>
      <c r="F53" s="2">
        <v>14</v>
      </c>
      <c r="G53" s="2">
        <v>2</v>
      </c>
      <c r="H53" s="3">
        <f t="shared" si="0"/>
        <v>14.583333333333334</v>
      </c>
      <c r="I53" s="4"/>
    </row>
    <row r="54" spans="1:9" ht="27" x14ac:dyDescent="0.85">
      <c r="A54" s="2">
        <v>47</v>
      </c>
      <c r="B54" s="10" t="s">
        <v>82</v>
      </c>
      <c r="C54" s="10" t="s">
        <v>22</v>
      </c>
      <c r="D54" s="2">
        <v>17</v>
      </c>
      <c r="E54" s="2">
        <v>14.5</v>
      </c>
      <c r="F54" s="2">
        <v>14</v>
      </c>
      <c r="G54" s="2">
        <v>2</v>
      </c>
      <c r="H54" s="3">
        <f t="shared" si="0"/>
        <v>14.583333333333334</v>
      </c>
      <c r="I54" s="4"/>
    </row>
    <row r="55" spans="1:9" ht="27" x14ac:dyDescent="0.85">
      <c r="A55" s="2">
        <v>48</v>
      </c>
      <c r="B55" s="10"/>
      <c r="C55" s="10"/>
      <c r="D55" s="2"/>
      <c r="E55" s="2"/>
      <c r="F55" s="2"/>
      <c r="G55" s="2">
        <v>2</v>
      </c>
      <c r="H55" s="3" t="str">
        <f t="shared" si="0"/>
        <v xml:space="preserve"> </v>
      </c>
      <c r="I55" s="4"/>
    </row>
    <row r="56" spans="1:9" ht="27" x14ac:dyDescent="0.85">
      <c r="A56" s="2">
        <v>49</v>
      </c>
      <c r="B56" s="10"/>
      <c r="C56" s="10"/>
      <c r="D56" s="2"/>
      <c r="E56" s="2"/>
      <c r="F56" s="2"/>
      <c r="G56" s="2">
        <v>2</v>
      </c>
      <c r="H56" s="3" t="str">
        <f t="shared" si="0"/>
        <v xml:space="preserve"> </v>
      </c>
      <c r="I56" s="4"/>
    </row>
    <row r="57" spans="1:9" ht="27" x14ac:dyDescent="0.85">
      <c r="A57" s="2">
        <v>50</v>
      </c>
      <c r="B57" s="10"/>
      <c r="C57" s="10"/>
      <c r="D57" s="2"/>
      <c r="E57" s="2"/>
      <c r="F57" s="2"/>
      <c r="G57" s="2">
        <v>2</v>
      </c>
      <c r="H57" s="3" t="str">
        <f t="shared" si="0"/>
        <v xml:space="preserve"> </v>
      </c>
      <c r="I57" s="4"/>
    </row>
    <row r="58" spans="1:9" ht="27" x14ac:dyDescent="0.85">
      <c r="A58" s="2">
        <v>51</v>
      </c>
      <c r="B58" s="10"/>
      <c r="C58" s="10"/>
      <c r="D58" s="2"/>
      <c r="E58" s="2"/>
      <c r="F58" s="2"/>
      <c r="G58" s="2">
        <v>2</v>
      </c>
      <c r="H58" s="3" t="str">
        <f t="shared" si="0"/>
        <v xml:space="preserve"> </v>
      </c>
      <c r="I58" s="4"/>
    </row>
    <row r="59" spans="1:9" ht="27" x14ac:dyDescent="0.85">
      <c r="A59" s="2">
        <v>52</v>
      </c>
      <c r="B59" s="10"/>
      <c r="C59" s="10"/>
      <c r="D59" s="2"/>
      <c r="E59" s="2"/>
      <c r="F59" s="2"/>
      <c r="G59" s="2">
        <v>2</v>
      </c>
      <c r="H59" s="3" t="str">
        <f t="shared" si="0"/>
        <v xml:space="preserve"> </v>
      </c>
      <c r="I59" s="4"/>
    </row>
    <row r="60" spans="1:9" ht="27" x14ac:dyDescent="0.85">
      <c r="A60" s="2">
        <v>53</v>
      </c>
      <c r="B60" s="10"/>
      <c r="C60" s="10"/>
      <c r="D60" s="2"/>
      <c r="E60" s="2"/>
      <c r="F60" s="2"/>
      <c r="G60" s="2">
        <v>2</v>
      </c>
      <c r="H60" s="3" t="str">
        <f t="shared" si="0"/>
        <v xml:space="preserve"> </v>
      </c>
      <c r="I60" s="4"/>
    </row>
    <row r="61" spans="1:9" ht="27" x14ac:dyDescent="0.85">
      <c r="A61" s="2">
        <v>54</v>
      </c>
      <c r="B61" s="10"/>
      <c r="C61" s="10"/>
      <c r="D61" s="2"/>
      <c r="E61" s="2"/>
      <c r="F61" s="2"/>
      <c r="G61" s="2">
        <v>2</v>
      </c>
      <c r="H61" s="3" t="str">
        <f t="shared" si="0"/>
        <v xml:space="preserve"> </v>
      </c>
      <c r="I61" s="4"/>
    </row>
    <row r="62" spans="1:9" ht="27" x14ac:dyDescent="0.85">
      <c r="A62" s="2">
        <v>55</v>
      </c>
      <c r="B62" s="10"/>
      <c r="C62" s="10"/>
      <c r="D62" s="2"/>
      <c r="E62" s="2"/>
      <c r="F62" s="2"/>
      <c r="G62" s="2">
        <v>2</v>
      </c>
      <c r="H62" s="3" t="str">
        <f t="shared" si="0"/>
        <v xml:space="preserve"> </v>
      </c>
      <c r="I62" s="4"/>
    </row>
    <row r="63" spans="1:9" ht="27" x14ac:dyDescent="0.85">
      <c r="A63" s="2">
        <v>56</v>
      </c>
      <c r="B63" s="10"/>
      <c r="C63" s="10"/>
      <c r="D63" s="2"/>
      <c r="E63" s="2"/>
      <c r="F63" s="2"/>
      <c r="G63" s="2">
        <v>2</v>
      </c>
      <c r="H63" s="3" t="str">
        <f t="shared" si="0"/>
        <v xml:space="preserve"> </v>
      </c>
      <c r="I63" s="4"/>
    </row>
    <row r="64" spans="1:9" ht="27" x14ac:dyDescent="0.85">
      <c r="A64" s="2">
        <v>57</v>
      </c>
      <c r="B64" s="10"/>
      <c r="C64" s="10"/>
      <c r="D64" s="2"/>
      <c r="E64" s="2"/>
      <c r="F64" s="2"/>
      <c r="G64" s="2">
        <v>2</v>
      </c>
      <c r="H64" s="3" t="str">
        <f t="shared" si="0"/>
        <v xml:space="preserve"> </v>
      </c>
      <c r="I64" s="4"/>
    </row>
    <row r="65" spans="1:9" ht="27" x14ac:dyDescent="0.85">
      <c r="A65" s="2">
        <v>58</v>
      </c>
      <c r="B65" s="10"/>
      <c r="C65" s="10"/>
      <c r="D65" s="2"/>
      <c r="E65" s="2"/>
      <c r="F65" s="2"/>
      <c r="G65" s="2">
        <v>2</v>
      </c>
      <c r="H65" s="3" t="str">
        <f t="shared" si="0"/>
        <v xml:space="preserve"> </v>
      </c>
      <c r="I65" s="4"/>
    </row>
    <row r="66" spans="1:9" ht="27" x14ac:dyDescent="0.85">
      <c r="A66" s="2">
        <v>59</v>
      </c>
      <c r="B66" s="10"/>
      <c r="C66" s="10"/>
      <c r="D66" s="2"/>
      <c r="E66" s="2"/>
      <c r="F66" s="2"/>
      <c r="G66" s="2">
        <v>2</v>
      </c>
      <c r="H66" s="3" t="str">
        <f t="shared" si="0"/>
        <v xml:space="preserve"> </v>
      </c>
      <c r="I66" s="4"/>
    </row>
    <row r="68" spans="1:9" ht="27" x14ac:dyDescent="0.3">
      <c r="B68" s="21" t="s">
        <v>7</v>
      </c>
      <c r="C68" s="22"/>
      <c r="D68" s="5">
        <f>COUNTA(B8:B66)</f>
        <v>47</v>
      </c>
      <c r="E68" s="5"/>
      <c r="G68" s="7"/>
      <c r="H68" s="8"/>
    </row>
    <row r="69" spans="1:9" ht="27" x14ac:dyDescent="0.3">
      <c r="B69" s="21" t="s">
        <v>8</v>
      </c>
      <c r="C69" s="22"/>
      <c r="D69" s="5">
        <f>COUNTIF(H8:H66,"&gt;=10")</f>
        <v>33</v>
      </c>
      <c r="E69" s="6">
        <f>D69/D68</f>
        <v>0.7021276595744681</v>
      </c>
    </row>
    <row r="70" spans="1:9" ht="27" x14ac:dyDescent="0.3">
      <c r="B70" s="21" t="s">
        <v>9</v>
      </c>
      <c r="C70" s="22"/>
      <c r="D70" s="5">
        <f>COUNTIF(H8:H66,"&lt;10")</f>
        <v>14</v>
      </c>
      <c r="E70" s="6">
        <f>D70/D68</f>
        <v>0.2978723404255319</v>
      </c>
    </row>
    <row r="71" spans="1:9" ht="27" x14ac:dyDescent="0.3">
      <c r="B71" s="21" t="s">
        <v>5</v>
      </c>
      <c r="C71" s="22"/>
      <c r="D71" s="23">
        <f>AVERAGE(H8:H66)</f>
        <v>11.858156028368798</v>
      </c>
      <c r="E71" s="24"/>
    </row>
  </sheetData>
  <mergeCells count="7">
    <mergeCell ref="A1:I1"/>
    <mergeCell ref="C2:G4"/>
    <mergeCell ref="B68:C68"/>
    <mergeCell ref="B69:C69"/>
    <mergeCell ref="B70:C70"/>
    <mergeCell ref="B71:C71"/>
    <mergeCell ref="D71:E71"/>
  </mergeCells>
  <phoneticPr fontId="11" type="noConversion"/>
  <conditionalFormatting sqref="H8:H66">
    <cfRule type="cellIs" dxfId="1" priority="1" operator="greaterThan">
      <formula>9.99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5C8A-EDF7-41D5-89F1-B5D8D16D3E29}">
  <sheetPr>
    <pageSetUpPr fitToPage="1"/>
  </sheetPr>
  <dimension ref="A1:I71"/>
  <sheetViews>
    <sheetView rightToLeft="1" zoomScale="85" zoomScaleNormal="85" workbookViewId="0">
      <selection activeCell="E10" sqref="E10"/>
    </sheetView>
  </sheetViews>
  <sheetFormatPr defaultRowHeight="14.4" x14ac:dyDescent="0.3"/>
  <cols>
    <col min="1" max="1" width="4.6640625" customWidth="1"/>
    <col min="2" max="3" width="16.21875" customWidth="1"/>
    <col min="4" max="4" width="9" bestFit="1" customWidth="1"/>
    <col min="5" max="5" width="11.33203125" bestFit="1" customWidth="1"/>
    <col min="8" max="8" width="12.88671875" style="1" customWidth="1"/>
    <col min="9" max="9" width="16.21875" customWidth="1"/>
  </cols>
  <sheetData>
    <row r="1" spans="1:9" ht="27" x14ac:dyDescent="0.85">
      <c r="A1" s="25" t="s">
        <v>68</v>
      </c>
      <c r="B1" s="25"/>
      <c r="C1" s="25"/>
      <c r="D1" s="25"/>
      <c r="E1" s="25"/>
      <c r="F1" s="25"/>
      <c r="G1" s="25"/>
      <c r="H1" s="25"/>
      <c r="I1" s="25"/>
    </row>
    <row r="2" spans="1:9" ht="22.2" customHeight="1" x14ac:dyDescent="0.3">
      <c r="C2" s="26" t="s">
        <v>12</v>
      </c>
      <c r="D2" s="26"/>
      <c r="E2" s="26"/>
      <c r="F2" s="26"/>
      <c r="G2" s="26"/>
      <c r="I2" s="12" t="s">
        <v>78</v>
      </c>
    </row>
    <row r="3" spans="1:9" ht="14.4" customHeight="1" x14ac:dyDescent="0.3">
      <c r="C3" s="26"/>
      <c r="D3" s="26"/>
      <c r="E3" s="26"/>
      <c r="F3" s="26"/>
      <c r="G3" s="26"/>
      <c r="I3" s="13"/>
    </row>
    <row r="4" spans="1:9" x14ac:dyDescent="0.3">
      <c r="C4" s="26"/>
      <c r="D4" s="26"/>
      <c r="E4" s="26"/>
      <c r="F4" s="26"/>
      <c r="G4" s="26"/>
    </row>
    <row r="5" spans="1:9" ht="15.6" x14ac:dyDescent="0.3">
      <c r="B5" s="11" t="s">
        <v>76</v>
      </c>
    </row>
    <row r="6" spans="1:9" ht="15.6" x14ac:dyDescent="0.3">
      <c r="B6" s="11" t="s">
        <v>13</v>
      </c>
    </row>
    <row r="7" spans="1:9" s="1" customFormat="1" ht="27" x14ac:dyDescent="0.85">
      <c r="A7" s="9" t="s">
        <v>0</v>
      </c>
      <c r="B7" s="9" t="s">
        <v>10</v>
      </c>
      <c r="C7" s="9" t="s">
        <v>11</v>
      </c>
      <c r="D7" s="9" t="s">
        <v>1</v>
      </c>
      <c r="E7" s="9" t="s">
        <v>2</v>
      </c>
      <c r="F7" s="9" t="s">
        <v>3</v>
      </c>
      <c r="G7" s="9" t="s">
        <v>4</v>
      </c>
      <c r="H7" s="9" t="s">
        <v>5</v>
      </c>
      <c r="I7" s="9" t="s">
        <v>6</v>
      </c>
    </row>
    <row r="8" spans="1:9" ht="27" x14ac:dyDescent="0.85">
      <c r="A8" s="2">
        <v>1</v>
      </c>
      <c r="B8" s="10" t="s">
        <v>25</v>
      </c>
      <c r="C8" s="10" t="s">
        <v>22</v>
      </c>
      <c r="D8" s="2">
        <v>16</v>
      </c>
      <c r="E8" s="2">
        <v>13.5</v>
      </c>
      <c r="F8" s="2">
        <v>8</v>
      </c>
      <c r="G8" s="2">
        <v>2</v>
      </c>
      <c r="H8" s="3">
        <f>IF(ISBLANK(B8)," ",(D8+E8+F8*4)/6)</f>
        <v>10.25</v>
      </c>
      <c r="I8" s="4"/>
    </row>
    <row r="9" spans="1:9" ht="27" x14ac:dyDescent="0.85">
      <c r="A9" s="2">
        <v>2</v>
      </c>
      <c r="B9" s="10" t="s">
        <v>26</v>
      </c>
      <c r="C9" s="10" t="s">
        <v>22</v>
      </c>
      <c r="D9" s="2">
        <v>16</v>
      </c>
      <c r="E9" s="2">
        <v>8</v>
      </c>
      <c r="F9" s="2">
        <v>4</v>
      </c>
      <c r="G9" s="2">
        <v>2</v>
      </c>
      <c r="H9" s="3">
        <f t="shared" ref="H9:H66" si="0">IF(ISBLANK(B9)," ",(D9+E9+F9*4)/6)</f>
        <v>6.666666666666667</v>
      </c>
      <c r="I9" s="4"/>
    </row>
    <row r="10" spans="1:9" ht="27" x14ac:dyDescent="0.85">
      <c r="A10" s="2">
        <v>3</v>
      </c>
      <c r="B10" s="10" t="s">
        <v>27</v>
      </c>
      <c r="C10" s="10" t="s">
        <v>22</v>
      </c>
      <c r="D10" s="2">
        <v>16</v>
      </c>
      <c r="E10" s="2">
        <v>5</v>
      </c>
      <c r="F10" s="2">
        <v>11.5</v>
      </c>
      <c r="G10" s="2">
        <v>2</v>
      </c>
      <c r="H10" s="3">
        <f t="shared" si="0"/>
        <v>11.166666666666666</v>
      </c>
      <c r="I10" s="4"/>
    </row>
    <row r="11" spans="1:9" ht="27" x14ac:dyDescent="0.85">
      <c r="A11" s="2">
        <v>4</v>
      </c>
      <c r="B11" s="10" t="s">
        <v>28</v>
      </c>
      <c r="C11" s="10" t="s">
        <v>22</v>
      </c>
      <c r="D11" s="2">
        <v>16</v>
      </c>
      <c r="E11" s="2">
        <v>14</v>
      </c>
      <c r="F11" s="2">
        <v>7</v>
      </c>
      <c r="G11" s="2">
        <v>2</v>
      </c>
      <c r="H11" s="3">
        <f t="shared" si="0"/>
        <v>9.6666666666666661</v>
      </c>
      <c r="I11" s="4"/>
    </row>
    <row r="12" spans="1:9" ht="27" x14ac:dyDescent="0.85">
      <c r="A12" s="2">
        <v>5</v>
      </c>
      <c r="B12" s="10" t="s">
        <v>29</v>
      </c>
      <c r="C12" s="10" t="s">
        <v>22</v>
      </c>
      <c r="D12" s="2">
        <v>14</v>
      </c>
      <c r="E12" s="2">
        <v>12.5</v>
      </c>
      <c r="F12" s="2">
        <v>5.5</v>
      </c>
      <c r="G12" s="2">
        <v>2</v>
      </c>
      <c r="H12" s="3">
        <f t="shared" si="0"/>
        <v>8.0833333333333339</v>
      </c>
      <c r="I12" s="4"/>
    </row>
    <row r="13" spans="1:9" ht="27" x14ac:dyDescent="0.85">
      <c r="A13" s="2">
        <v>6</v>
      </c>
      <c r="B13" s="10" t="s">
        <v>30</v>
      </c>
      <c r="C13" s="10" t="s">
        <v>22</v>
      </c>
      <c r="D13" s="2">
        <v>17</v>
      </c>
      <c r="E13" s="2">
        <v>18.5</v>
      </c>
      <c r="F13" s="2">
        <v>9.5</v>
      </c>
      <c r="G13" s="2">
        <v>2</v>
      </c>
      <c r="H13" s="3">
        <f t="shared" si="0"/>
        <v>12.25</v>
      </c>
      <c r="I13" s="4"/>
    </row>
    <row r="14" spans="1:9" ht="27" x14ac:dyDescent="0.85">
      <c r="A14" s="2">
        <v>7</v>
      </c>
      <c r="B14" s="10" t="s">
        <v>31</v>
      </c>
      <c r="C14" s="10" t="s">
        <v>22</v>
      </c>
      <c r="D14" s="2">
        <v>16</v>
      </c>
      <c r="E14" s="2">
        <v>11.5</v>
      </c>
      <c r="F14" s="2">
        <v>7</v>
      </c>
      <c r="G14" s="2">
        <v>2</v>
      </c>
      <c r="H14" s="3">
        <f t="shared" si="0"/>
        <v>9.25</v>
      </c>
      <c r="I14" s="4"/>
    </row>
    <row r="15" spans="1:9" ht="27" x14ac:dyDescent="0.85">
      <c r="A15" s="2">
        <v>8</v>
      </c>
      <c r="B15" s="10" t="s">
        <v>32</v>
      </c>
      <c r="C15" s="10" t="s">
        <v>22</v>
      </c>
      <c r="D15" s="2">
        <v>15</v>
      </c>
      <c r="E15" s="2">
        <v>16</v>
      </c>
      <c r="F15" s="2">
        <v>14.5</v>
      </c>
      <c r="G15" s="2">
        <v>2</v>
      </c>
      <c r="H15" s="3">
        <f t="shared" si="0"/>
        <v>14.833333333333334</v>
      </c>
      <c r="I15" s="4"/>
    </row>
    <row r="16" spans="1:9" ht="27" x14ac:dyDescent="0.85">
      <c r="A16" s="2">
        <v>9</v>
      </c>
      <c r="B16" s="10" t="s">
        <v>33</v>
      </c>
      <c r="C16" s="10" t="s">
        <v>22</v>
      </c>
      <c r="D16" s="2">
        <v>17</v>
      </c>
      <c r="E16" s="2">
        <v>16</v>
      </c>
      <c r="F16" s="2">
        <v>15.5</v>
      </c>
      <c r="G16" s="2">
        <v>2</v>
      </c>
      <c r="H16" s="3">
        <f t="shared" si="0"/>
        <v>15.833333333333334</v>
      </c>
      <c r="I16" s="4"/>
    </row>
    <row r="17" spans="1:9" ht="27" x14ac:dyDescent="0.85">
      <c r="A17" s="2">
        <v>10</v>
      </c>
      <c r="B17" s="10" t="s">
        <v>34</v>
      </c>
      <c r="C17" s="10" t="s">
        <v>22</v>
      </c>
      <c r="D17" s="2">
        <v>15</v>
      </c>
      <c r="E17" s="2">
        <v>16</v>
      </c>
      <c r="F17" s="2">
        <v>7</v>
      </c>
      <c r="G17" s="2">
        <v>2</v>
      </c>
      <c r="H17" s="3">
        <f t="shared" si="0"/>
        <v>9.8333333333333339</v>
      </c>
      <c r="I17" s="4"/>
    </row>
    <row r="18" spans="1:9" ht="27" x14ac:dyDescent="0.85">
      <c r="A18" s="2">
        <v>11</v>
      </c>
      <c r="B18" s="10" t="s">
        <v>35</v>
      </c>
      <c r="C18" s="10" t="s">
        <v>22</v>
      </c>
      <c r="D18" s="2">
        <v>16</v>
      </c>
      <c r="E18" s="2">
        <v>14</v>
      </c>
      <c r="F18" s="2">
        <v>11.5</v>
      </c>
      <c r="G18" s="2">
        <v>2</v>
      </c>
      <c r="H18" s="3">
        <f t="shared" si="0"/>
        <v>12.666666666666666</v>
      </c>
      <c r="I18" s="4"/>
    </row>
    <row r="19" spans="1:9" ht="27" x14ac:dyDescent="0.85">
      <c r="A19" s="2">
        <v>12</v>
      </c>
      <c r="B19" s="10" t="s">
        <v>36</v>
      </c>
      <c r="C19" s="10" t="s">
        <v>22</v>
      </c>
      <c r="D19" s="2">
        <v>15</v>
      </c>
      <c r="E19" s="2">
        <v>11</v>
      </c>
      <c r="F19" s="2">
        <v>9.5</v>
      </c>
      <c r="G19" s="2">
        <v>2</v>
      </c>
      <c r="H19" s="3">
        <f t="shared" si="0"/>
        <v>10.666666666666666</v>
      </c>
      <c r="I19" s="4"/>
    </row>
    <row r="20" spans="1:9" ht="27" x14ac:dyDescent="0.85">
      <c r="A20" s="2">
        <v>13</v>
      </c>
      <c r="B20" s="10" t="s">
        <v>37</v>
      </c>
      <c r="C20" s="10" t="s">
        <v>22</v>
      </c>
      <c r="D20" s="2">
        <v>15</v>
      </c>
      <c r="E20" s="2">
        <v>16</v>
      </c>
      <c r="F20" s="2">
        <v>10</v>
      </c>
      <c r="G20" s="2">
        <v>2</v>
      </c>
      <c r="H20" s="3">
        <f t="shared" si="0"/>
        <v>11.833333333333334</v>
      </c>
      <c r="I20" s="4"/>
    </row>
    <row r="21" spans="1:9" ht="27" x14ac:dyDescent="0.85">
      <c r="A21" s="2">
        <v>14</v>
      </c>
      <c r="B21" s="10" t="s">
        <v>38</v>
      </c>
      <c r="C21" s="10" t="s">
        <v>22</v>
      </c>
      <c r="D21" s="2">
        <v>16</v>
      </c>
      <c r="E21" s="2">
        <v>12</v>
      </c>
      <c r="F21" s="2">
        <v>13</v>
      </c>
      <c r="G21" s="2">
        <v>2</v>
      </c>
      <c r="H21" s="3">
        <f t="shared" si="0"/>
        <v>13.333333333333334</v>
      </c>
      <c r="I21" s="4"/>
    </row>
    <row r="22" spans="1:9" ht="27" x14ac:dyDescent="0.85">
      <c r="A22" s="2">
        <v>15</v>
      </c>
      <c r="B22" s="10" t="s">
        <v>39</v>
      </c>
      <c r="C22" s="10" t="s">
        <v>22</v>
      </c>
      <c r="D22" s="2">
        <v>15</v>
      </c>
      <c r="E22" s="2">
        <v>7</v>
      </c>
      <c r="F22" s="2">
        <v>2</v>
      </c>
      <c r="G22" s="2">
        <v>2</v>
      </c>
      <c r="H22" s="3">
        <f t="shared" si="0"/>
        <v>5</v>
      </c>
      <c r="I22" s="4"/>
    </row>
    <row r="23" spans="1:9" ht="27" x14ac:dyDescent="0.85">
      <c r="A23" s="2">
        <v>16</v>
      </c>
      <c r="B23" s="10" t="s">
        <v>40</v>
      </c>
      <c r="C23" s="10" t="s">
        <v>22</v>
      </c>
      <c r="D23" s="2">
        <v>15</v>
      </c>
      <c r="E23" s="2">
        <v>8.5</v>
      </c>
      <c r="F23" s="2">
        <v>7</v>
      </c>
      <c r="G23" s="2">
        <v>2</v>
      </c>
      <c r="H23" s="3">
        <f t="shared" si="0"/>
        <v>8.5833333333333339</v>
      </c>
      <c r="I23" s="4"/>
    </row>
    <row r="24" spans="1:9" ht="27" x14ac:dyDescent="0.85">
      <c r="A24" s="2">
        <v>17</v>
      </c>
      <c r="B24" s="10" t="s">
        <v>41</v>
      </c>
      <c r="C24" s="10" t="s">
        <v>22</v>
      </c>
      <c r="D24" s="2">
        <v>15</v>
      </c>
      <c r="E24" s="2">
        <v>11.5</v>
      </c>
      <c r="F24" s="2">
        <v>8.5</v>
      </c>
      <c r="G24" s="2">
        <v>2</v>
      </c>
      <c r="H24" s="3">
        <f t="shared" si="0"/>
        <v>10.083333333333334</v>
      </c>
      <c r="I24" s="4"/>
    </row>
    <row r="25" spans="1:9" ht="27" x14ac:dyDescent="0.85">
      <c r="A25" s="2">
        <v>18</v>
      </c>
      <c r="B25" s="10" t="s">
        <v>42</v>
      </c>
      <c r="C25" s="10" t="s">
        <v>22</v>
      </c>
      <c r="D25" s="2">
        <v>16</v>
      </c>
      <c r="E25" s="2">
        <v>19</v>
      </c>
      <c r="F25" s="2">
        <v>11.5</v>
      </c>
      <c r="G25" s="2">
        <v>2</v>
      </c>
      <c r="H25" s="3">
        <f t="shared" si="0"/>
        <v>13.5</v>
      </c>
      <c r="I25" s="4"/>
    </row>
    <row r="26" spans="1:9" ht="27" x14ac:dyDescent="0.85">
      <c r="A26" s="2">
        <v>19</v>
      </c>
      <c r="B26" s="10" t="s">
        <v>43</v>
      </c>
      <c r="C26" s="10" t="s">
        <v>22</v>
      </c>
      <c r="D26" s="2">
        <v>16</v>
      </c>
      <c r="E26" s="2">
        <v>10.5</v>
      </c>
      <c r="F26" s="2">
        <v>14</v>
      </c>
      <c r="G26" s="2">
        <v>2</v>
      </c>
      <c r="H26" s="3">
        <f t="shared" si="0"/>
        <v>13.75</v>
      </c>
      <c r="I26" s="4"/>
    </row>
    <row r="27" spans="1:9" ht="27" x14ac:dyDescent="0.85">
      <c r="A27" s="2">
        <v>20</v>
      </c>
      <c r="B27" s="10" t="s">
        <v>44</v>
      </c>
      <c r="C27" s="10" t="s">
        <v>22</v>
      </c>
      <c r="D27" s="2">
        <v>17</v>
      </c>
      <c r="E27" s="2">
        <v>15</v>
      </c>
      <c r="F27" s="2">
        <v>14.5</v>
      </c>
      <c r="G27" s="2">
        <v>2</v>
      </c>
      <c r="H27" s="3">
        <f t="shared" si="0"/>
        <v>15</v>
      </c>
      <c r="I27" s="4"/>
    </row>
    <row r="28" spans="1:9" ht="27" x14ac:dyDescent="0.85">
      <c r="A28" s="2">
        <v>21</v>
      </c>
      <c r="B28" s="10" t="s">
        <v>45</v>
      </c>
      <c r="C28" s="10" t="s">
        <v>22</v>
      </c>
      <c r="D28" s="2">
        <v>16</v>
      </c>
      <c r="E28" s="2">
        <v>14</v>
      </c>
      <c r="F28" s="2">
        <v>12.5</v>
      </c>
      <c r="G28" s="2">
        <v>2</v>
      </c>
      <c r="H28" s="3">
        <f t="shared" si="0"/>
        <v>13.333333333333334</v>
      </c>
      <c r="I28" s="4"/>
    </row>
    <row r="29" spans="1:9" ht="27" x14ac:dyDescent="0.85">
      <c r="A29" s="2">
        <v>22</v>
      </c>
      <c r="B29" s="10" t="s">
        <v>46</v>
      </c>
      <c r="C29" s="10" t="s">
        <v>22</v>
      </c>
      <c r="D29" s="2">
        <v>15</v>
      </c>
      <c r="E29" s="2">
        <v>9</v>
      </c>
      <c r="F29" s="2">
        <v>9.5</v>
      </c>
      <c r="G29" s="2">
        <v>2</v>
      </c>
      <c r="H29" s="3">
        <f t="shared" si="0"/>
        <v>10.333333333333334</v>
      </c>
      <c r="I29" s="4"/>
    </row>
    <row r="30" spans="1:9" ht="27" x14ac:dyDescent="0.85">
      <c r="A30" s="2">
        <v>23</v>
      </c>
      <c r="B30" s="10" t="s">
        <v>47</v>
      </c>
      <c r="C30" s="10" t="s">
        <v>22</v>
      </c>
      <c r="D30" s="2">
        <v>17</v>
      </c>
      <c r="E30" s="2">
        <v>15</v>
      </c>
      <c r="F30" s="2">
        <v>15</v>
      </c>
      <c r="G30" s="2">
        <v>2</v>
      </c>
      <c r="H30" s="3">
        <f t="shared" si="0"/>
        <v>15.333333333333334</v>
      </c>
      <c r="I30" s="4"/>
    </row>
    <row r="31" spans="1:9" ht="27" x14ac:dyDescent="0.85">
      <c r="A31" s="2">
        <v>24</v>
      </c>
      <c r="B31" s="10" t="s">
        <v>48</v>
      </c>
      <c r="C31" s="10" t="s">
        <v>22</v>
      </c>
      <c r="D31" s="2">
        <v>15</v>
      </c>
      <c r="E31" s="2">
        <v>13.5</v>
      </c>
      <c r="F31" s="2">
        <v>10</v>
      </c>
      <c r="G31" s="2">
        <v>2</v>
      </c>
      <c r="H31" s="3">
        <f t="shared" si="0"/>
        <v>11.416666666666666</v>
      </c>
      <c r="I31" s="4"/>
    </row>
    <row r="32" spans="1:9" ht="27" x14ac:dyDescent="0.85">
      <c r="A32" s="2">
        <v>25</v>
      </c>
      <c r="B32" s="10" t="s">
        <v>49</v>
      </c>
      <c r="C32" s="10" t="s">
        <v>22</v>
      </c>
      <c r="D32" s="2">
        <v>18</v>
      </c>
      <c r="E32" s="2">
        <v>19</v>
      </c>
      <c r="F32" s="2">
        <v>19</v>
      </c>
      <c r="G32" s="2">
        <v>2</v>
      </c>
      <c r="H32" s="3">
        <f t="shared" si="0"/>
        <v>18.833333333333332</v>
      </c>
      <c r="I32" s="4"/>
    </row>
    <row r="33" spans="1:9" ht="27" x14ac:dyDescent="0.85">
      <c r="A33" s="2">
        <v>26</v>
      </c>
      <c r="B33" s="10" t="s">
        <v>50</v>
      </c>
      <c r="C33" s="10" t="s">
        <v>22</v>
      </c>
      <c r="D33" s="2">
        <v>14</v>
      </c>
      <c r="E33" s="2">
        <v>7.5</v>
      </c>
      <c r="F33" s="2">
        <v>6.5</v>
      </c>
      <c r="G33" s="2">
        <v>2</v>
      </c>
      <c r="H33" s="3">
        <f t="shared" si="0"/>
        <v>7.916666666666667</v>
      </c>
      <c r="I33" s="4"/>
    </row>
    <row r="34" spans="1:9" ht="27" x14ac:dyDescent="0.85">
      <c r="A34" s="2">
        <v>27</v>
      </c>
      <c r="B34" s="10" t="s">
        <v>51</v>
      </c>
      <c r="C34" s="10" t="s">
        <v>22</v>
      </c>
      <c r="D34" s="2">
        <v>12</v>
      </c>
      <c r="E34" s="2">
        <v>8.5</v>
      </c>
      <c r="F34" s="2">
        <v>7</v>
      </c>
      <c r="G34" s="2">
        <v>2</v>
      </c>
      <c r="H34" s="3">
        <f t="shared" si="0"/>
        <v>8.0833333333333339</v>
      </c>
      <c r="I34" s="4"/>
    </row>
    <row r="35" spans="1:9" ht="27" x14ac:dyDescent="0.85">
      <c r="A35" s="2">
        <v>28</v>
      </c>
      <c r="B35" s="10" t="s">
        <v>52</v>
      </c>
      <c r="C35" s="10" t="s">
        <v>22</v>
      </c>
      <c r="D35" s="2">
        <v>18</v>
      </c>
      <c r="E35" s="2">
        <v>19</v>
      </c>
      <c r="F35" s="2">
        <v>19</v>
      </c>
      <c r="G35" s="2">
        <v>2</v>
      </c>
      <c r="H35" s="3">
        <f t="shared" si="0"/>
        <v>18.833333333333332</v>
      </c>
      <c r="I35" s="4"/>
    </row>
    <row r="36" spans="1:9" ht="27" x14ac:dyDescent="0.85">
      <c r="A36" s="2">
        <v>29</v>
      </c>
      <c r="B36" s="10" t="s">
        <v>53</v>
      </c>
      <c r="C36" s="10" t="s">
        <v>22</v>
      </c>
      <c r="D36" s="2">
        <v>15</v>
      </c>
      <c r="E36" s="2">
        <v>11.5</v>
      </c>
      <c r="F36" s="2">
        <v>6</v>
      </c>
      <c r="G36" s="2">
        <v>2</v>
      </c>
      <c r="H36" s="3">
        <f t="shared" si="0"/>
        <v>8.4166666666666661</v>
      </c>
      <c r="I36" s="4"/>
    </row>
    <row r="37" spans="1:9" ht="27" x14ac:dyDescent="0.85">
      <c r="A37" s="2">
        <v>30</v>
      </c>
      <c r="B37" s="10" t="s">
        <v>54</v>
      </c>
      <c r="C37" s="10" t="s">
        <v>22</v>
      </c>
      <c r="D37" s="2">
        <v>16</v>
      </c>
      <c r="E37" s="2">
        <v>16</v>
      </c>
      <c r="F37" s="2">
        <v>9.5</v>
      </c>
      <c r="G37" s="2">
        <v>2</v>
      </c>
      <c r="H37" s="3">
        <f t="shared" si="0"/>
        <v>11.666666666666666</v>
      </c>
      <c r="I37" s="4"/>
    </row>
    <row r="38" spans="1:9" ht="27" x14ac:dyDescent="0.85">
      <c r="A38" s="2">
        <v>31</v>
      </c>
      <c r="B38" s="10" t="s">
        <v>55</v>
      </c>
      <c r="C38" s="10" t="s">
        <v>22</v>
      </c>
      <c r="D38" s="2">
        <v>16</v>
      </c>
      <c r="E38" s="2">
        <v>13.5</v>
      </c>
      <c r="F38" s="2">
        <v>12</v>
      </c>
      <c r="G38" s="2">
        <v>2</v>
      </c>
      <c r="H38" s="3">
        <f t="shared" si="0"/>
        <v>12.916666666666666</v>
      </c>
      <c r="I38" s="4"/>
    </row>
    <row r="39" spans="1:9" ht="27" x14ac:dyDescent="0.85">
      <c r="A39" s="2">
        <v>32</v>
      </c>
      <c r="B39" s="10" t="s">
        <v>56</v>
      </c>
      <c r="C39" s="10" t="s">
        <v>22</v>
      </c>
      <c r="D39" s="2">
        <v>16</v>
      </c>
      <c r="E39" s="2">
        <v>7.5</v>
      </c>
      <c r="F39" s="2">
        <v>10</v>
      </c>
      <c r="G39" s="2">
        <v>2</v>
      </c>
      <c r="H39" s="3">
        <f t="shared" si="0"/>
        <v>10.583333333333334</v>
      </c>
      <c r="I39" s="4"/>
    </row>
    <row r="40" spans="1:9" ht="27" x14ac:dyDescent="0.85">
      <c r="A40" s="2">
        <v>33</v>
      </c>
      <c r="B40" s="10" t="s">
        <v>57</v>
      </c>
      <c r="C40" s="10" t="s">
        <v>22</v>
      </c>
      <c r="D40" s="2">
        <v>15</v>
      </c>
      <c r="E40" s="2">
        <v>7</v>
      </c>
      <c r="F40" s="2">
        <v>5.5</v>
      </c>
      <c r="G40" s="2">
        <v>2</v>
      </c>
      <c r="H40" s="3">
        <f t="shared" si="0"/>
        <v>7.333333333333333</v>
      </c>
      <c r="I40" s="4"/>
    </row>
    <row r="41" spans="1:9" ht="27" x14ac:dyDescent="0.85">
      <c r="A41" s="2">
        <v>34</v>
      </c>
      <c r="B41" s="10" t="s">
        <v>58</v>
      </c>
      <c r="C41" s="10" t="s">
        <v>22</v>
      </c>
      <c r="D41" s="2">
        <v>16</v>
      </c>
      <c r="E41" s="2">
        <v>7.5</v>
      </c>
      <c r="F41" s="2">
        <v>8.5</v>
      </c>
      <c r="G41" s="2">
        <v>2</v>
      </c>
      <c r="H41" s="3">
        <f t="shared" si="0"/>
        <v>9.5833333333333339</v>
      </c>
      <c r="I41" s="4"/>
    </row>
    <row r="42" spans="1:9" ht="27" x14ac:dyDescent="0.85">
      <c r="A42" s="2">
        <v>35</v>
      </c>
      <c r="B42" s="10" t="s">
        <v>59</v>
      </c>
      <c r="C42" s="10" t="s">
        <v>22</v>
      </c>
      <c r="D42" s="2">
        <v>17</v>
      </c>
      <c r="E42" s="2">
        <v>15</v>
      </c>
      <c r="F42" s="2">
        <v>12.5</v>
      </c>
      <c r="G42" s="2">
        <v>2</v>
      </c>
      <c r="H42" s="3">
        <f t="shared" si="0"/>
        <v>13.666666666666666</v>
      </c>
      <c r="I42" s="4"/>
    </row>
    <row r="43" spans="1:9" ht="27" x14ac:dyDescent="0.85">
      <c r="A43" s="2">
        <v>36</v>
      </c>
      <c r="B43" s="10" t="s">
        <v>60</v>
      </c>
      <c r="C43" s="10" t="s">
        <v>22</v>
      </c>
      <c r="D43" s="2">
        <v>14</v>
      </c>
      <c r="E43" s="2">
        <v>11</v>
      </c>
      <c r="F43" s="2">
        <v>5.5</v>
      </c>
      <c r="G43" s="2">
        <v>2</v>
      </c>
      <c r="H43" s="3">
        <f t="shared" si="0"/>
        <v>7.833333333333333</v>
      </c>
      <c r="I43" s="4"/>
    </row>
    <row r="44" spans="1:9" ht="27" x14ac:dyDescent="0.85">
      <c r="A44" s="2">
        <v>37</v>
      </c>
      <c r="B44" s="10" t="s">
        <v>61</v>
      </c>
      <c r="C44" s="10" t="s">
        <v>22</v>
      </c>
      <c r="D44" s="2">
        <v>16</v>
      </c>
      <c r="E44" s="2">
        <v>13</v>
      </c>
      <c r="F44" s="2">
        <v>11</v>
      </c>
      <c r="G44" s="2">
        <v>2</v>
      </c>
      <c r="H44" s="3">
        <f t="shared" si="0"/>
        <v>12.166666666666666</v>
      </c>
      <c r="I44" s="4"/>
    </row>
    <row r="45" spans="1:9" ht="27" x14ac:dyDescent="0.85">
      <c r="A45" s="2">
        <v>38</v>
      </c>
      <c r="B45" s="10" t="s">
        <v>62</v>
      </c>
      <c r="C45" s="10" t="s">
        <v>22</v>
      </c>
      <c r="D45" s="2">
        <v>18</v>
      </c>
      <c r="E45" s="2">
        <v>19</v>
      </c>
      <c r="F45" s="2">
        <v>19</v>
      </c>
      <c r="G45" s="2">
        <v>2</v>
      </c>
      <c r="H45" s="3">
        <f t="shared" si="0"/>
        <v>18.833333333333332</v>
      </c>
      <c r="I45" s="4"/>
    </row>
    <row r="46" spans="1:9" ht="27" x14ac:dyDescent="0.85">
      <c r="A46" s="2">
        <v>39</v>
      </c>
      <c r="B46" s="10" t="s">
        <v>63</v>
      </c>
      <c r="C46" s="10" t="s">
        <v>22</v>
      </c>
      <c r="D46" s="2">
        <v>14</v>
      </c>
      <c r="E46" s="2">
        <v>10.5</v>
      </c>
      <c r="F46" s="2">
        <v>5</v>
      </c>
      <c r="G46" s="2">
        <v>2</v>
      </c>
      <c r="H46" s="3">
        <f t="shared" si="0"/>
        <v>7.416666666666667</v>
      </c>
      <c r="I46" s="4"/>
    </row>
    <row r="47" spans="1:9" ht="27" x14ac:dyDescent="0.85">
      <c r="A47" s="2">
        <v>40</v>
      </c>
      <c r="B47" s="10" t="s">
        <v>64</v>
      </c>
      <c r="C47" s="10" t="s">
        <v>22</v>
      </c>
      <c r="D47" s="2">
        <v>16</v>
      </c>
      <c r="E47" s="2">
        <v>15.5</v>
      </c>
      <c r="F47" s="2">
        <v>11</v>
      </c>
      <c r="G47" s="2">
        <v>2</v>
      </c>
      <c r="H47" s="3">
        <f t="shared" si="0"/>
        <v>12.583333333333334</v>
      </c>
      <c r="I47" s="4"/>
    </row>
    <row r="48" spans="1:9" ht="27" x14ac:dyDescent="0.85">
      <c r="A48" s="2">
        <v>41</v>
      </c>
      <c r="B48" s="10" t="s">
        <v>65</v>
      </c>
      <c r="C48" s="10" t="s">
        <v>22</v>
      </c>
      <c r="D48" s="2">
        <v>15</v>
      </c>
      <c r="E48" s="2">
        <v>16</v>
      </c>
      <c r="F48" s="2">
        <v>8</v>
      </c>
      <c r="G48" s="2">
        <v>2</v>
      </c>
      <c r="H48" s="3">
        <f t="shared" si="0"/>
        <v>10.5</v>
      </c>
      <c r="I48" s="4"/>
    </row>
    <row r="49" spans="1:9" ht="27" x14ac:dyDescent="0.85">
      <c r="A49" s="2">
        <v>42</v>
      </c>
      <c r="B49" s="10" t="s">
        <v>66</v>
      </c>
      <c r="C49" s="10" t="s">
        <v>22</v>
      </c>
      <c r="D49" s="2">
        <v>17</v>
      </c>
      <c r="E49" s="2">
        <v>14.5</v>
      </c>
      <c r="F49" s="2">
        <v>14</v>
      </c>
      <c r="G49" s="2">
        <v>2</v>
      </c>
      <c r="H49" s="3">
        <f t="shared" si="0"/>
        <v>14.583333333333334</v>
      </c>
      <c r="I49" s="4"/>
    </row>
    <row r="50" spans="1:9" ht="27" x14ac:dyDescent="0.85">
      <c r="A50" s="2">
        <v>43</v>
      </c>
      <c r="B50" s="10"/>
      <c r="C50" s="10"/>
      <c r="D50" s="2"/>
      <c r="E50" s="2"/>
      <c r="F50" s="2"/>
      <c r="G50" s="2">
        <v>2</v>
      </c>
      <c r="H50" s="3" t="str">
        <f t="shared" si="0"/>
        <v xml:space="preserve"> </v>
      </c>
      <c r="I50" s="4"/>
    </row>
    <row r="51" spans="1:9" ht="27" x14ac:dyDescent="0.85">
      <c r="A51" s="2">
        <v>44</v>
      </c>
      <c r="B51" s="10"/>
      <c r="C51" s="10"/>
      <c r="D51" s="2"/>
      <c r="E51" s="2"/>
      <c r="F51" s="2"/>
      <c r="G51" s="2">
        <v>2</v>
      </c>
      <c r="H51" s="3" t="str">
        <f t="shared" si="0"/>
        <v xml:space="preserve"> </v>
      </c>
      <c r="I51" s="4"/>
    </row>
    <row r="52" spans="1:9" ht="27" x14ac:dyDescent="0.85">
      <c r="A52" s="2">
        <v>45</v>
      </c>
      <c r="B52" s="10"/>
      <c r="C52" s="10"/>
      <c r="D52" s="2"/>
      <c r="E52" s="2"/>
      <c r="F52" s="2"/>
      <c r="G52" s="2">
        <v>2</v>
      </c>
      <c r="H52" s="3" t="str">
        <f t="shared" si="0"/>
        <v xml:space="preserve"> </v>
      </c>
      <c r="I52" s="4"/>
    </row>
    <row r="53" spans="1:9" ht="27" x14ac:dyDescent="0.85">
      <c r="A53" s="2">
        <v>46</v>
      </c>
      <c r="B53" s="10"/>
      <c r="C53" s="10"/>
      <c r="D53" s="2"/>
      <c r="E53" s="2"/>
      <c r="F53" s="2"/>
      <c r="G53" s="2">
        <v>2</v>
      </c>
      <c r="H53" s="3" t="str">
        <f t="shared" si="0"/>
        <v xml:space="preserve"> </v>
      </c>
      <c r="I53" s="4"/>
    </row>
    <row r="54" spans="1:9" ht="27" x14ac:dyDescent="0.85">
      <c r="A54" s="2">
        <v>47</v>
      </c>
      <c r="B54" s="10"/>
      <c r="C54" s="10"/>
      <c r="D54" s="2"/>
      <c r="E54" s="2"/>
      <c r="F54" s="2"/>
      <c r="G54" s="2">
        <v>2</v>
      </c>
      <c r="H54" s="3" t="str">
        <f t="shared" si="0"/>
        <v xml:space="preserve"> </v>
      </c>
      <c r="I54" s="4"/>
    </row>
    <row r="55" spans="1:9" ht="27" x14ac:dyDescent="0.85">
      <c r="A55" s="2">
        <v>48</v>
      </c>
      <c r="B55" s="10"/>
      <c r="C55" s="10"/>
      <c r="D55" s="2"/>
      <c r="E55" s="2"/>
      <c r="F55" s="2"/>
      <c r="G55" s="2">
        <v>2</v>
      </c>
      <c r="H55" s="3" t="str">
        <f t="shared" si="0"/>
        <v xml:space="preserve"> </v>
      </c>
      <c r="I55" s="4"/>
    </row>
    <row r="56" spans="1:9" ht="27" x14ac:dyDescent="0.85">
      <c r="A56" s="2">
        <v>49</v>
      </c>
      <c r="B56" s="10"/>
      <c r="C56" s="10"/>
      <c r="D56" s="2"/>
      <c r="E56" s="2"/>
      <c r="F56" s="2"/>
      <c r="G56" s="2">
        <v>2</v>
      </c>
      <c r="H56" s="3" t="str">
        <f t="shared" si="0"/>
        <v xml:space="preserve"> </v>
      </c>
      <c r="I56" s="4"/>
    </row>
    <row r="57" spans="1:9" ht="27" x14ac:dyDescent="0.85">
      <c r="A57" s="2">
        <v>50</v>
      </c>
      <c r="B57" s="10"/>
      <c r="C57" s="10"/>
      <c r="D57" s="2"/>
      <c r="E57" s="2"/>
      <c r="F57" s="2"/>
      <c r="G57" s="2">
        <v>2</v>
      </c>
      <c r="H57" s="3" t="str">
        <f t="shared" si="0"/>
        <v xml:space="preserve"> </v>
      </c>
      <c r="I57" s="4"/>
    </row>
    <row r="58" spans="1:9" ht="27" x14ac:dyDescent="0.85">
      <c r="A58" s="2">
        <v>51</v>
      </c>
      <c r="B58" s="10"/>
      <c r="C58" s="10"/>
      <c r="D58" s="2"/>
      <c r="E58" s="2"/>
      <c r="F58" s="2"/>
      <c r="G58" s="2">
        <v>2</v>
      </c>
      <c r="H58" s="3" t="str">
        <f t="shared" si="0"/>
        <v xml:space="preserve"> </v>
      </c>
      <c r="I58" s="4"/>
    </row>
    <row r="59" spans="1:9" ht="27" x14ac:dyDescent="0.85">
      <c r="A59" s="2">
        <v>52</v>
      </c>
      <c r="B59" s="10"/>
      <c r="C59" s="10"/>
      <c r="D59" s="2"/>
      <c r="E59" s="2"/>
      <c r="F59" s="2"/>
      <c r="G59" s="2">
        <v>2</v>
      </c>
      <c r="H59" s="3" t="str">
        <f t="shared" si="0"/>
        <v xml:space="preserve"> </v>
      </c>
      <c r="I59" s="4"/>
    </row>
    <row r="60" spans="1:9" ht="27" x14ac:dyDescent="0.85">
      <c r="A60" s="2">
        <v>53</v>
      </c>
      <c r="B60" s="10"/>
      <c r="C60" s="10"/>
      <c r="D60" s="2"/>
      <c r="E60" s="2"/>
      <c r="F60" s="2"/>
      <c r="G60" s="2">
        <v>2</v>
      </c>
      <c r="H60" s="3" t="str">
        <f t="shared" si="0"/>
        <v xml:space="preserve"> </v>
      </c>
      <c r="I60" s="4"/>
    </row>
    <row r="61" spans="1:9" ht="27" x14ac:dyDescent="0.85">
      <c r="A61" s="2">
        <v>54</v>
      </c>
      <c r="B61" s="10"/>
      <c r="C61" s="10"/>
      <c r="D61" s="2"/>
      <c r="E61" s="2"/>
      <c r="F61" s="2"/>
      <c r="G61" s="2">
        <v>2</v>
      </c>
      <c r="H61" s="3" t="str">
        <f t="shared" si="0"/>
        <v xml:space="preserve"> </v>
      </c>
      <c r="I61" s="4"/>
    </row>
    <row r="62" spans="1:9" ht="27" x14ac:dyDescent="0.85">
      <c r="A62" s="2">
        <v>55</v>
      </c>
      <c r="B62" s="10"/>
      <c r="C62" s="10"/>
      <c r="D62" s="2"/>
      <c r="E62" s="2"/>
      <c r="F62" s="2"/>
      <c r="G62" s="2">
        <v>2</v>
      </c>
      <c r="H62" s="3" t="str">
        <f t="shared" si="0"/>
        <v xml:space="preserve"> </v>
      </c>
      <c r="I62" s="4"/>
    </row>
    <row r="63" spans="1:9" ht="27" x14ac:dyDescent="0.85">
      <c r="A63" s="2">
        <v>56</v>
      </c>
      <c r="B63" s="10"/>
      <c r="C63" s="10"/>
      <c r="D63" s="2"/>
      <c r="E63" s="2"/>
      <c r="F63" s="2"/>
      <c r="G63" s="2">
        <v>2</v>
      </c>
      <c r="H63" s="3" t="str">
        <f t="shared" si="0"/>
        <v xml:space="preserve"> </v>
      </c>
      <c r="I63" s="4"/>
    </row>
    <row r="64" spans="1:9" ht="27" x14ac:dyDescent="0.85">
      <c r="A64" s="2">
        <v>57</v>
      </c>
      <c r="B64" s="10"/>
      <c r="C64" s="10"/>
      <c r="D64" s="2"/>
      <c r="E64" s="2"/>
      <c r="F64" s="2"/>
      <c r="G64" s="2">
        <v>2</v>
      </c>
      <c r="H64" s="3" t="str">
        <f t="shared" si="0"/>
        <v xml:space="preserve"> </v>
      </c>
      <c r="I64" s="4"/>
    </row>
    <row r="65" spans="1:9" ht="27" x14ac:dyDescent="0.85">
      <c r="A65" s="2">
        <v>58</v>
      </c>
      <c r="B65" s="10"/>
      <c r="C65" s="10"/>
      <c r="D65" s="2"/>
      <c r="E65" s="2"/>
      <c r="F65" s="2"/>
      <c r="G65" s="2">
        <v>2</v>
      </c>
      <c r="H65" s="3" t="str">
        <f t="shared" si="0"/>
        <v xml:space="preserve"> </v>
      </c>
      <c r="I65" s="4"/>
    </row>
    <row r="66" spans="1:9" ht="27" x14ac:dyDescent="0.85">
      <c r="A66" s="2">
        <v>59</v>
      </c>
      <c r="B66" s="10"/>
      <c r="C66" s="10"/>
      <c r="D66" s="2"/>
      <c r="E66" s="2"/>
      <c r="F66" s="2"/>
      <c r="G66" s="2">
        <v>2</v>
      </c>
      <c r="H66" s="3" t="str">
        <f t="shared" si="0"/>
        <v xml:space="preserve"> </v>
      </c>
      <c r="I66" s="4"/>
    </row>
    <row r="68" spans="1:9" ht="27" x14ac:dyDescent="0.3">
      <c r="B68" s="21" t="s">
        <v>7</v>
      </c>
      <c r="C68" s="22"/>
      <c r="D68" s="5">
        <f>COUNTA(B8:B66)</f>
        <v>42</v>
      </c>
      <c r="E68" s="5"/>
      <c r="G68" s="7"/>
      <c r="H68" s="8"/>
    </row>
    <row r="69" spans="1:9" ht="27" x14ac:dyDescent="0.3">
      <c r="B69" s="21" t="s">
        <v>8</v>
      </c>
      <c r="C69" s="22"/>
      <c r="D69" s="5">
        <f>COUNTIF(H8:H66,"&gt;=10")</f>
        <v>28</v>
      </c>
      <c r="E69" s="6">
        <f>D69/D68</f>
        <v>0.66666666666666663</v>
      </c>
    </row>
    <row r="70" spans="1:9" ht="27" x14ac:dyDescent="0.3">
      <c r="B70" s="21" t="s">
        <v>9</v>
      </c>
      <c r="C70" s="22"/>
      <c r="D70" s="5">
        <f>COUNTIF(H8:H66,"&lt;10")</f>
        <v>14</v>
      </c>
      <c r="E70" s="6">
        <f>D70/D68</f>
        <v>0.33333333333333331</v>
      </c>
    </row>
    <row r="71" spans="1:9" ht="27" x14ac:dyDescent="0.3">
      <c r="B71" s="21" t="s">
        <v>5</v>
      </c>
      <c r="C71" s="22"/>
      <c r="D71" s="23">
        <f>AVERAGE(H8:H66)</f>
        <v>11.53373015873016</v>
      </c>
      <c r="E71" s="24"/>
    </row>
  </sheetData>
  <mergeCells count="7">
    <mergeCell ref="A1:I1"/>
    <mergeCell ref="C2:G4"/>
    <mergeCell ref="B68:C68"/>
    <mergeCell ref="B69:C69"/>
    <mergeCell ref="B70:C70"/>
    <mergeCell ref="B71:C71"/>
    <mergeCell ref="D71:E71"/>
  </mergeCells>
  <conditionalFormatting sqref="H8:H66">
    <cfRule type="cellIs" dxfId="0" priority="1" operator="greaterThan">
      <formula>9.99</formula>
    </cfRule>
  </conditionalFormatting>
  <pageMargins left="0.7" right="0.7" top="0.75" bottom="0.75" header="0.3" footer="0.3"/>
  <pageSetup paperSize="9" scale="72" fitToHeight="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5232-DB41-4395-B3B3-FB436FF39D3C}">
  <dimension ref="C3:G12"/>
  <sheetViews>
    <sheetView rightToLeft="1" tabSelected="1" zoomScale="130" zoomScaleNormal="130" workbookViewId="0">
      <selection activeCell="I16" sqref="I16"/>
    </sheetView>
  </sheetViews>
  <sheetFormatPr defaultRowHeight="14.4" x14ac:dyDescent="0.3"/>
  <cols>
    <col min="3" max="3" width="13.88671875" customWidth="1"/>
    <col min="4" max="4" width="14.6640625" customWidth="1"/>
    <col min="5" max="5" width="11.109375" customWidth="1"/>
    <col min="7" max="7" width="12" customWidth="1"/>
  </cols>
  <sheetData>
    <row r="3" spans="3:7" ht="18" x14ac:dyDescent="0.3">
      <c r="C3" s="18" t="s">
        <v>14</v>
      </c>
      <c r="D3" s="18" t="s">
        <v>15</v>
      </c>
      <c r="E3" s="18" t="s">
        <v>8</v>
      </c>
      <c r="F3" s="18" t="s">
        <v>9</v>
      </c>
      <c r="G3" s="18" t="s">
        <v>16</v>
      </c>
    </row>
    <row r="4" spans="3:7" x14ac:dyDescent="0.3">
      <c r="C4" s="15" t="str">
        <f>'3am1'!I2</f>
        <v>3م1</v>
      </c>
      <c r="D4" s="15">
        <f>'3am1'!D68</f>
        <v>38</v>
      </c>
      <c r="E4" s="15">
        <f>'3am1'!D69</f>
        <v>27</v>
      </c>
      <c r="F4" s="15">
        <f>'3am1'!D70</f>
        <v>11</v>
      </c>
      <c r="G4" s="16">
        <f>'3am1'!E69</f>
        <v>0.71052631578947367</v>
      </c>
    </row>
    <row r="5" spans="3:7" x14ac:dyDescent="0.3">
      <c r="C5" s="15" t="str">
        <f>'3am2'!I2</f>
        <v>3م2</v>
      </c>
      <c r="D5" s="15">
        <f>'3am2'!D68</f>
        <v>42</v>
      </c>
      <c r="E5" s="15">
        <f>'3am2'!D69</f>
        <v>30</v>
      </c>
      <c r="F5" s="15">
        <f>'3am2'!D70</f>
        <v>12</v>
      </c>
      <c r="G5" s="16">
        <f>'3am2'!E69</f>
        <v>0.7142857142857143</v>
      </c>
    </row>
    <row r="6" spans="3:7" x14ac:dyDescent="0.3">
      <c r="C6" s="15" t="str">
        <f>'3am3'!I2</f>
        <v>3م3</v>
      </c>
      <c r="D6" s="15">
        <f>'3am3'!D68</f>
        <v>43</v>
      </c>
      <c r="E6" s="15">
        <f>'3am3'!D69</f>
        <v>27</v>
      </c>
      <c r="F6" s="15">
        <f>'3am3'!D70</f>
        <v>16</v>
      </c>
      <c r="G6" s="16">
        <f>'3am3'!E69</f>
        <v>0.62790697674418605</v>
      </c>
    </row>
    <row r="7" spans="3:7" x14ac:dyDescent="0.3">
      <c r="C7" s="15" t="str">
        <f>'3am4'!I2</f>
        <v>3م4</v>
      </c>
      <c r="D7" s="15">
        <f>'3am4'!D68</f>
        <v>42</v>
      </c>
      <c r="E7" s="15">
        <f>'3am4'!D69</f>
        <v>25</v>
      </c>
      <c r="F7" s="15">
        <f>'3am4'!D70</f>
        <v>17</v>
      </c>
      <c r="G7" s="16">
        <f>'3am4'!E69</f>
        <v>0.59523809523809523</v>
      </c>
    </row>
    <row r="8" spans="3:7" x14ac:dyDescent="0.3">
      <c r="C8" s="15" t="str">
        <f>'3am5'!I2</f>
        <v>3م5</v>
      </c>
      <c r="D8" s="15">
        <f>'3am5'!D68</f>
        <v>42</v>
      </c>
      <c r="E8" s="15">
        <f>'3am5'!D69</f>
        <v>28</v>
      </c>
      <c r="F8" s="15">
        <f>'3am5'!D70</f>
        <v>14</v>
      </c>
      <c r="G8" s="16">
        <f>'3am5'!E69</f>
        <v>0.66666666666666663</v>
      </c>
    </row>
    <row r="9" spans="3:7" ht="15" customHeight="1" x14ac:dyDescent="0.3">
      <c r="C9" s="15" t="str">
        <f>'3am6'!I2</f>
        <v>3م6</v>
      </c>
      <c r="D9" s="15">
        <f>'3am6'!D68</f>
        <v>47</v>
      </c>
      <c r="E9" s="15">
        <f>'3am7'!D68</f>
        <v>42</v>
      </c>
      <c r="F9" s="15">
        <f>'3am6'!D70</f>
        <v>14</v>
      </c>
      <c r="G9" s="16">
        <f>'3am6'!E69</f>
        <v>0.7021276595744681</v>
      </c>
    </row>
    <row r="10" spans="3:7" ht="13.8" customHeight="1" x14ac:dyDescent="0.3">
      <c r="C10" s="15" t="str">
        <f>'3am7'!I2</f>
        <v>3م7</v>
      </c>
      <c r="D10" s="15">
        <f>'3am7'!D68</f>
        <v>42</v>
      </c>
      <c r="E10" s="15">
        <f>'3am7'!D68</f>
        <v>42</v>
      </c>
      <c r="F10" s="15">
        <f>'3am7'!D70</f>
        <v>14</v>
      </c>
      <c r="G10" s="16">
        <f>'3am7'!E69</f>
        <v>0.66666666666666663</v>
      </c>
    </row>
    <row r="11" spans="3:7" ht="0.6" customHeight="1" x14ac:dyDescent="0.3">
      <c r="C11" s="17"/>
      <c r="D11" s="17"/>
      <c r="E11" s="17"/>
      <c r="F11" s="17"/>
      <c r="G11" s="17"/>
    </row>
    <row r="12" spans="3:7" x14ac:dyDescent="0.3">
      <c r="C12" s="19" t="s">
        <v>17</v>
      </c>
      <c r="D12" s="19">
        <f>SUM(D4:D11)</f>
        <v>296</v>
      </c>
      <c r="E12" s="19">
        <f>SUM(E4:E11)</f>
        <v>221</v>
      </c>
      <c r="F12" s="19">
        <f>SUM(F4:F11)</f>
        <v>98</v>
      </c>
      <c r="G12" s="20">
        <f>AVERAGE(G4:G11)</f>
        <v>0.6690597278521816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3am1</vt:lpstr>
      <vt:lpstr>3am2</vt:lpstr>
      <vt:lpstr>3am3</vt:lpstr>
      <vt:lpstr>3am4</vt:lpstr>
      <vt:lpstr>3am5</vt:lpstr>
      <vt:lpstr>3am6</vt:lpstr>
      <vt:lpstr>3am7</vt:lpstr>
      <vt:lpstr>احصائيات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</dc:creator>
  <cp:lastModifiedBy>sasasa sasa</cp:lastModifiedBy>
  <cp:lastPrinted>2023-12-12T16:56:44Z</cp:lastPrinted>
  <dcterms:created xsi:type="dcterms:W3CDTF">2022-12-12T18:45:51Z</dcterms:created>
  <dcterms:modified xsi:type="dcterms:W3CDTF">2023-12-12T16:58:37Z</dcterms:modified>
</cp:coreProperties>
</file>