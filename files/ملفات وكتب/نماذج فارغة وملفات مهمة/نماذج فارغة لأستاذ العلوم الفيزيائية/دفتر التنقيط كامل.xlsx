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القسم 1 " sheetId="8" r:id="rId1"/>
    <sheet name="القسم 2" sheetId="7" r:id="rId2"/>
    <sheet name="القسم 3" sheetId="6" r:id="rId3"/>
    <sheet name="القسم4" sheetId="5" r:id="rId4"/>
    <sheet name="القسم5" sheetId="9" r:id="rId5"/>
    <sheet name="القسم6" sheetId="12" r:id="rId6"/>
    <sheet name="القسم7" sheetId="13" r:id="rId7"/>
    <sheet name="القسم8" sheetId="11" r:id="rId8"/>
  </sheets>
  <calcPr calcId="124519"/>
</workbook>
</file>

<file path=xl/calcChain.xml><?xml version="1.0" encoding="utf-8"?>
<calcChain xmlns="http://schemas.openxmlformats.org/spreadsheetml/2006/main">
  <c r="E48" i="13"/>
  <c r="E49" s="1"/>
  <c r="E45"/>
  <c r="I44"/>
  <c r="E44"/>
  <c r="H41"/>
  <c r="I45" s="1"/>
  <c r="F41"/>
  <c r="E41"/>
  <c r="I40"/>
  <c r="J40" s="1"/>
  <c r="G40"/>
  <c r="G39"/>
  <c r="I39" s="1"/>
  <c r="J39" s="1"/>
  <c r="G38"/>
  <c r="I38" s="1"/>
  <c r="J38" s="1"/>
  <c r="G37"/>
  <c r="I37" s="1"/>
  <c r="J37" s="1"/>
  <c r="I36"/>
  <c r="J36" s="1"/>
  <c r="G36"/>
  <c r="G35"/>
  <c r="I35" s="1"/>
  <c r="J35" s="1"/>
  <c r="G34"/>
  <c r="I34" s="1"/>
  <c r="J34" s="1"/>
  <c r="G33"/>
  <c r="I33" s="1"/>
  <c r="J33" s="1"/>
  <c r="I32"/>
  <c r="J32" s="1"/>
  <c r="G32"/>
  <c r="G31"/>
  <c r="I31" s="1"/>
  <c r="J31" s="1"/>
  <c r="G30"/>
  <c r="I30" s="1"/>
  <c r="J30" s="1"/>
  <c r="G29"/>
  <c r="I29" s="1"/>
  <c r="J29" s="1"/>
  <c r="I28"/>
  <c r="J28" s="1"/>
  <c r="G28"/>
  <c r="G27"/>
  <c r="I27" s="1"/>
  <c r="J27" s="1"/>
  <c r="G26"/>
  <c r="I26" s="1"/>
  <c r="J26" s="1"/>
  <c r="G25"/>
  <c r="I25" s="1"/>
  <c r="J25" s="1"/>
  <c r="I24"/>
  <c r="J24" s="1"/>
  <c r="G24"/>
  <c r="G23"/>
  <c r="I23" s="1"/>
  <c r="J23" s="1"/>
  <c r="G22"/>
  <c r="I22" s="1"/>
  <c r="J22" s="1"/>
  <c r="G21"/>
  <c r="I21" s="1"/>
  <c r="J21" s="1"/>
  <c r="I20"/>
  <c r="J20" s="1"/>
  <c r="G20"/>
  <c r="G19"/>
  <c r="I19" s="1"/>
  <c r="J19" s="1"/>
  <c r="G18"/>
  <c r="I18" s="1"/>
  <c r="J18" s="1"/>
  <c r="G17"/>
  <c r="I17" s="1"/>
  <c r="J17" s="1"/>
  <c r="I16"/>
  <c r="J16" s="1"/>
  <c r="G16"/>
  <c r="G15"/>
  <c r="I15" s="1"/>
  <c r="J15" s="1"/>
  <c r="G14"/>
  <c r="I14" s="1"/>
  <c r="J14" s="1"/>
  <c r="G13"/>
  <c r="I13" s="1"/>
  <c r="J13" s="1"/>
  <c r="I12"/>
  <c r="J12" s="1"/>
  <c r="G12"/>
  <c r="G11"/>
  <c r="I11" s="1"/>
  <c r="J11" s="1"/>
  <c r="G10"/>
  <c r="I10" s="1"/>
  <c r="J10" s="1"/>
  <c r="G9"/>
  <c r="I9" s="1"/>
  <c r="J9" s="1"/>
  <c r="I8"/>
  <c r="J8" s="1"/>
  <c r="G8"/>
  <c r="G7"/>
  <c r="I7" s="1"/>
  <c r="J7" s="1"/>
  <c r="G6"/>
  <c r="I6" s="1"/>
  <c r="J6" s="1"/>
  <c r="G5"/>
  <c r="I5" s="1"/>
  <c r="E48" i="12"/>
  <c r="E49" s="1"/>
  <c r="I44"/>
  <c r="E44"/>
  <c r="E45" s="1"/>
  <c r="H41"/>
  <c r="F41"/>
  <c r="E41"/>
  <c r="I40"/>
  <c r="J40" s="1"/>
  <c r="G40"/>
  <c r="G39"/>
  <c r="I39" s="1"/>
  <c r="J39" s="1"/>
  <c r="I38"/>
  <c r="J38" s="1"/>
  <c r="G38"/>
  <c r="G37"/>
  <c r="I37" s="1"/>
  <c r="J37" s="1"/>
  <c r="I36"/>
  <c r="J36" s="1"/>
  <c r="G36"/>
  <c r="G35"/>
  <c r="I35" s="1"/>
  <c r="J35" s="1"/>
  <c r="I34"/>
  <c r="J34" s="1"/>
  <c r="G34"/>
  <c r="G33"/>
  <c r="I33" s="1"/>
  <c r="J33" s="1"/>
  <c r="I32"/>
  <c r="J32" s="1"/>
  <c r="G32"/>
  <c r="G31"/>
  <c r="I31" s="1"/>
  <c r="J31" s="1"/>
  <c r="I30"/>
  <c r="J30" s="1"/>
  <c r="G30"/>
  <c r="G29"/>
  <c r="I29" s="1"/>
  <c r="J29" s="1"/>
  <c r="I28"/>
  <c r="J28" s="1"/>
  <c r="G28"/>
  <c r="G27"/>
  <c r="I27" s="1"/>
  <c r="J27" s="1"/>
  <c r="I26"/>
  <c r="J26" s="1"/>
  <c r="G26"/>
  <c r="G25"/>
  <c r="I25" s="1"/>
  <c r="J25" s="1"/>
  <c r="I24"/>
  <c r="J24" s="1"/>
  <c r="G24"/>
  <c r="G23"/>
  <c r="I23" s="1"/>
  <c r="J23" s="1"/>
  <c r="I22"/>
  <c r="J22" s="1"/>
  <c r="G22"/>
  <c r="G21"/>
  <c r="I21" s="1"/>
  <c r="J21" s="1"/>
  <c r="I20"/>
  <c r="J20" s="1"/>
  <c r="G20"/>
  <c r="G19"/>
  <c r="I19" s="1"/>
  <c r="J19" s="1"/>
  <c r="I18"/>
  <c r="J18" s="1"/>
  <c r="G18"/>
  <c r="G17"/>
  <c r="I17" s="1"/>
  <c r="J17" s="1"/>
  <c r="I16"/>
  <c r="J16" s="1"/>
  <c r="G16"/>
  <c r="G15"/>
  <c r="I15" s="1"/>
  <c r="J15" s="1"/>
  <c r="I14"/>
  <c r="J14" s="1"/>
  <c r="G14"/>
  <c r="G13"/>
  <c r="I13" s="1"/>
  <c r="J13" s="1"/>
  <c r="I12"/>
  <c r="J12" s="1"/>
  <c r="G12"/>
  <c r="G11"/>
  <c r="I11" s="1"/>
  <c r="J11" s="1"/>
  <c r="I10"/>
  <c r="J10" s="1"/>
  <c r="G10"/>
  <c r="G9"/>
  <c r="I9" s="1"/>
  <c r="J9" s="1"/>
  <c r="I8"/>
  <c r="J8" s="1"/>
  <c r="G8"/>
  <c r="G7"/>
  <c r="I7" s="1"/>
  <c r="J7" s="1"/>
  <c r="I6"/>
  <c r="J6" s="1"/>
  <c r="G6"/>
  <c r="G5"/>
  <c r="I5" s="1"/>
  <c r="E48" i="11"/>
  <c r="E45"/>
  <c r="I44"/>
  <c r="E44"/>
  <c r="H41"/>
  <c r="F41"/>
  <c r="E41"/>
  <c r="I40"/>
  <c r="J40" s="1"/>
  <c r="G40"/>
  <c r="G39"/>
  <c r="I39" s="1"/>
  <c r="J39" s="1"/>
  <c r="I38"/>
  <c r="J38" s="1"/>
  <c r="G38"/>
  <c r="G37"/>
  <c r="I37" s="1"/>
  <c r="J37" s="1"/>
  <c r="G36"/>
  <c r="I36" s="1"/>
  <c r="J36" s="1"/>
  <c r="G35"/>
  <c r="I35" s="1"/>
  <c r="J35" s="1"/>
  <c r="G34"/>
  <c r="I34" s="1"/>
  <c r="J34" s="1"/>
  <c r="G33"/>
  <c r="I33" s="1"/>
  <c r="J33" s="1"/>
  <c r="I32"/>
  <c r="J32" s="1"/>
  <c r="G32"/>
  <c r="G31"/>
  <c r="I31" s="1"/>
  <c r="J31" s="1"/>
  <c r="I30"/>
  <c r="J30" s="1"/>
  <c r="G30"/>
  <c r="G29"/>
  <c r="I29" s="1"/>
  <c r="J29" s="1"/>
  <c r="I28"/>
  <c r="J28" s="1"/>
  <c r="G28"/>
  <c r="G27"/>
  <c r="I27" s="1"/>
  <c r="J27" s="1"/>
  <c r="I26"/>
  <c r="J26" s="1"/>
  <c r="G26"/>
  <c r="G25"/>
  <c r="I25" s="1"/>
  <c r="J25" s="1"/>
  <c r="I24"/>
  <c r="J24" s="1"/>
  <c r="G24"/>
  <c r="G23"/>
  <c r="I23" s="1"/>
  <c r="J23" s="1"/>
  <c r="I22"/>
  <c r="J22" s="1"/>
  <c r="G22"/>
  <c r="G21"/>
  <c r="I21" s="1"/>
  <c r="J21" s="1"/>
  <c r="I20"/>
  <c r="J20" s="1"/>
  <c r="G20"/>
  <c r="G19"/>
  <c r="I19" s="1"/>
  <c r="J19" s="1"/>
  <c r="I18"/>
  <c r="J18" s="1"/>
  <c r="G18"/>
  <c r="G17"/>
  <c r="I17" s="1"/>
  <c r="J17" s="1"/>
  <c r="I16"/>
  <c r="J16" s="1"/>
  <c r="G16"/>
  <c r="G15"/>
  <c r="I15" s="1"/>
  <c r="J15" s="1"/>
  <c r="I14"/>
  <c r="J14" s="1"/>
  <c r="G14"/>
  <c r="G13"/>
  <c r="I13" s="1"/>
  <c r="J13" s="1"/>
  <c r="I12"/>
  <c r="J12" s="1"/>
  <c r="G12"/>
  <c r="G11"/>
  <c r="I11" s="1"/>
  <c r="J11" s="1"/>
  <c r="I10"/>
  <c r="J10" s="1"/>
  <c r="G10"/>
  <c r="G9"/>
  <c r="I9" s="1"/>
  <c r="J9" s="1"/>
  <c r="I8"/>
  <c r="J8" s="1"/>
  <c r="G8"/>
  <c r="G7"/>
  <c r="I7" s="1"/>
  <c r="J7" s="1"/>
  <c r="I6"/>
  <c r="J6" s="1"/>
  <c r="G6"/>
  <c r="G5"/>
  <c r="I5" s="1"/>
  <c r="E48" i="9"/>
  <c r="I45"/>
  <c r="I44"/>
  <c r="E44"/>
  <c r="H41"/>
  <c r="F41"/>
  <c r="E41"/>
  <c r="G40"/>
  <c r="I40" s="1"/>
  <c r="J40" s="1"/>
  <c r="I39"/>
  <c r="J39" s="1"/>
  <c r="G39"/>
  <c r="G38"/>
  <c r="I38" s="1"/>
  <c r="J38" s="1"/>
  <c r="G37"/>
  <c r="I37" s="1"/>
  <c r="J37" s="1"/>
  <c r="J36"/>
  <c r="I36"/>
  <c r="G36"/>
  <c r="I35"/>
  <c r="J35" s="1"/>
  <c r="G35"/>
  <c r="G34"/>
  <c r="I34" s="1"/>
  <c r="J34" s="1"/>
  <c r="G33"/>
  <c r="I33" s="1"/>
  <c r="J33" s="1"/>
  <c r="J32"/>
  <c r="I32"/>
  <c r="G32"/>
  <c r="I31"/>
  <c r="J31" s="1"/>
  <c r="G31"/>
  <c r="G30"/>
  <c r="I30" s="1"/>
  <c r="J30" s="1"/>
  <c r="G29"/>
  <c r="I29" s="1"/>
  <c r="J29" s="1"/>
  <c r="J28"/>
  <c r="I28"/>
  <c r="G28"/>
  <c r="I27"/>
  <c r="J27" s="1"/>
  <c r="G27"/>
  <c r="G26"/>
  <c r="I26" s="1"/>
  <c r="J26" s="1"/>
  <c r="G25"/>
  <c r="I25" s="1"/>
  <c r="J25" s="1"/>
  <c r="J24"/>
  <c r="I24"/>
  <c r="G24"/>
  <c r="I23"/>
  <c r="J23" s="1"/>
  <c r="G23"/>
  <c r="G22"/>
  <c r="I22" s="1"/>
  <c r="J22" s="1"/>
  <c r="G21"/>
  <c r="I21" s="1"/>
  <c r="J21" s="1"/>
  <c r="J20"/>
  <c r="I20"/>
  <c r="G20"/>
  <c r="I19"/>
  <c r="J19" s="1"/>
  <c r="G19"/>
  <c r="G18"/>
  <c r="I18" s="1"/>
  <c r="J18" s="1"/>
  <c r="G17"/>
  <c r="I17" s="1"/>
  <c r="J17" s="1"/>
  <c r="J16"/>
  <c r="I16"/>
  <c r="G16"/>
  <c r="I15"/>
  <c r="J15" s="1"/>
  <c r="G15"/>
  <c r="G14"/>
  <c r="I14" s="1"/>
  <c r="J14" s="1"/>
  <c r="G13"/>
  <c r="I13" s="1"/>
  <c r="J13" s="1"/>
  <c r="J12"/>
  <c r="I12"/>
  <c r="G12"/>
  <c r="I11"/>
  <c r="J11" s="1"/>
  <c r="G11"/>
  <c r="G10"/>
  <c r="I10" s="1"/>
  <c r="J10" s="1"/>
  <c r="G9"/>
  <c r="I9" s="1"/>
  <c r="J9" s="1"/>
  <c r="J8"/>
  <c r="I8"/>
  <c r="G8"/>
  <c r="I7"/>
  <c r="J7" s="1"/>
  <c r="G7"/>
  <c r="G6"/>
  <c r="I6" s="1"/>
  <c r="J6" s="1"/>
  <c r="G5"/>
  <c r="I5" s="1"/>
  <c r="E48" i="8"/>
  <c r="E49" s="1"/>
  <c r="I44"/>
  <c r="E44"/>
  <c r="E45" s="1"/>
  <c r="H41"/>
  <c r="F41"/>
  <c r="E41"/>
  <c r="I40"/>
  <c r="J40" s="1"/>
  <c r="G40"/>
  <c r="G39"/>
  <c r="I39" s="1"/>
  <c r="J39" s="1"/>
  <c r="G38"/>
  <c r="I38" s="1"/>
  <c r="J38" s="1"/>
  <c r="G37"/>
  <c r="I37" s="1"/>
  <c r="J37" s="1"/>
  <c r="I36"/>
  <c r="J36" s="1"/>
  <c r="G36"/>
  <c r="G35"/>
  <c r="I35" s="1"/>
  <c r="J35" s="1"/>
  <c r="G34"/>
  <c r="I34" s="1"/>
  <c r="J34" s="1"/>
  <c r="G33"/>
  <c r="I33" s="1"/>
  <c r="J33" s="1"/>
  <c r="I32"/>
  <c r="J32" s="1"/>
  <c r="G32"/>
  <c r="G31"/>
  <c r="I31" s="1"/>
  <c r="J31" s="1"/>
  <c r="G30"/>
  <c r="I30" s="1"/>
  <c r="J30" s="1"/>
  <c r="G29"/>
  <c r="I29" s="1"/>
  <c r="J29" s="1"/>
  <c r="I28"/>
  <c r="J28" s="1"/>
  <c r="G28"/>
  <c r="G27"/>
  <c r="I27" s="1"/>
  <c r="J27" s="1"/>
  <c r="G26"/>
  <c r="I26" s="1"/>
  <c r="J26" s="1"/>
  <c r="G25"/>
  <c r="I25" s="1"/>
  <c r="J25" s="1"/>
  <c r="I24"/>
  <c r="J24" s="1"/>
  <c r="G24"/>
  <c r="G23"/>
  <c r="I23" s="1"/>
  <c r="J23" s="1"/>
  <c r="G22"/>
  <c r="I22" s="1"/>
  <c r="J22" s="1"/>
  <c r="G21"/>
  <c r="I21" s="1"/>
  <c r="J21" s="1"/>
  <c r="I20"/>
  <c r="J20" s="1"/>
  <c r="G20"/>
  <c r="G19"/>
  <c r="I19" s="1"/>
  <c r="J19" s="1"/>
  <c r="G18"/>
  <c r="I18" s="1"/>
  <c r="J18" s="1"/>
  <c r="G17"/>
  <c r="I17" s="1"/>
  <c r="J17" s="1"/>
  <c r="I16"/>
  <c r="J16" s="1"/>
  <c r="G16"/>
  <c r="G15"/>
  <c r="I15" s="1"/>
  <c r="J15" s="1"/>
  <c r="G14"/>
  <c r="I14" s="1"/>
  <c r="J14" s="1"/>
  <c r="G13"/>
  <c r="I13" s="1"/>
  <c r="J13" s="1"/>
  <c r="I12"/>
  <c r="J12" s="1"/>
  <c r="G12"/>
  <c r="G11"/>
  <c r="I11" s="1"/>
  <c r="J11" s="1"/>
  <c r="G10"/>
  <c r="I10" s="1"/>
  <c r="J10" s="1"/>
  <c r="G9"/>
  <c r="I9" s="1"/>
  <c r="J9" s="1"/>
  <c r="I8"/>
  <c r="J8" s="1"/>
  <c r="G8"/>
  <c r="G7"/>
  <c r="I7" s="1"/>
  <c r="J7" s="1"/>
  <c r="G6"/>
  <c r="I6" s="1"/>
  <c r="J6" s="1"/>
  <c r="G5"/>
  <c r="I5" s="1"/>
  <c r="E48" i="7"/>
  <c r="E49" s="1"/>
  <c r="E45"/>
  <c r="I44"/>
  <c r="E44"/>
  <c r="H41"/>
  <c r="I45" s="1"/>
  <c r="F41"/>
  <c r="E41"/>
  <c r="I40"/>
  <c r="J40" s="1"/>
  <c r="G40"/>
  <c r="G39"/>
  <c r="I39" s="1"/>
  <c r="J39" s="1"/>
  <c r="G38"/>
  <c r="I38" s="1"/>
  <c r="J38" s="1"/>
  <c r="G37"/>
  <c r="I37" s="1"/>
  <c r="J37" s="1"/>
  <c r="I36"/>
  <c r="J36" s="1"/>
  <c r="G36"/>
  <c r="G35"/>
  <c r="I35" s="1"/>
  <c r="J35" s="1"/>
  <c r="G34"/>
  <c r="I34" s="1"/>
  <c r="J34" s="1"/>
  <c r="G33"/>
  <c r="I33" s="1"/>
  <c r="J33" s="1"/>
  <c r="I32"/>
  <c r="J32" s="1"/>
  <c r="G32"/>
  <c r="G31"/>
  <c r="I31" s="1"/>
  <c r="J31" s="1"/>
  <c r="G30"/>
  <c r="I30" s="1"/>
  <c r="J30" s="1"/>
  <c r="G29"/>
  <c r="I29" s="1"/>
  <c r="J29" s="1"/>
  <c r="I28"/>
  <c r="J28" s="1"/>
  <c r="G28"/>
  <c r="G27"/>
  <c r="I27" s="1"/>
  <c r="J27" s="1"/>
  <c r="G26"/>
  <c r="I26" s="1"/>
  <c r="J26" s="1"/>
  <c r="G25"/>
  <c r="I25" s="1"/>
  <c r="J25" s="1"/>
  <c r="I24"/>
  <c r="J24" s="1"/>
  <c r="G24"/>
  <c r="G23"/>
  <c r="I23" s="1"/>
  <c r="J23" s="1"/>
  <c r="G22"/>
  <c r="I22" s="1"/>
  <c r="J22" s="1"/>
  <c r="G21"/>
  <c r="I21" s="1"/>
  <c r="J21" s="1"/>
  <c r="I20"/>
  <c r="J20" s="1"/>
  <c r="G20"/>
  <c r="G19"/>
  <c r="I19" s="1"/>
  <c r="J19" s="1"/>
  <c r="G18"/>
  <c r="I18" s="1"/>
  <c r="J18" s="1"/>
  <c r="G17"/>
  <c r="I17" s="1"/>
  <c r="J17" s="1"/>
  <c r="I16"/>
  <c r="J16" s="1"/>
  <c r="G16"/>
  <c r="G15"/>
  <c r="I15" s="1"/>
  <c r="J15" s="1"/>
  <c r="G14"/>
  <c r="I14" s="1"/>
  <c r="J14" s="1"/>
  <c r="G13"/>
  <c r="I13" s="1"/>
  <c r="J13" s="1"/>
  <c r="I12"/>
  <c r="J12" s="1"/>
  <c r="G12"/>
  <c r="G11"/>
  <c r="I11" s="1"/>
  <c r="J11" s="1"/>
  <c r="G10"/>
  <c r="I10" s="1"/>
  <c r="J10" s="1"/>
  <c r="G9"/>
  <c r="I9" s="1"/>
  <c r="J9" s="1"/>
  <c r="I8"/>
  <c r="J8" s="1"/>
  <c r="G8"/>
  <c r="G7"/>
  <c r="I7" s="1"/>
  <c r="J7" s="1"/>
  <c r="G6"/>
  <c r="I6" s="1"/>
  <c r="J6" s="1"/>
  <c r="G5"/>
  <c r="I5" s="1"/>
  <c r="E48" i="6"/>
  <c r="E49" s="1"/>
  <c r="E45"/>
  <c r="I44"/>
  <c r="E44"/>
  <c r="H41"/>
  <c r="I45" s="1"/>
  <c r="F41"/>
  <c r="E41"/>
  <c r="I40"/>
  <c r="J40" s="1"/>
  <c r="G40"/>
  <c r="G39"/>
  <c r="I39" s="1"/>
  <c r="J39" s="1"/>
  <c r="I38"/>
  <c r="J38" s="1"/>
  <c r="G38"/>
  <c r="G37"/>
  <c r="I37" s="1"/>
  <c r="J37" s="1"/>
  <c r="I36"/>
  <c r="J36" s="1"/>
  <c r="G36"/>
  <c r="G35"/>
  <c r="I35" s="1"/>
  <c r="J35" s="1"/>
  <c r="I34"/>
  <c r="J34" s="1"/>
  <c r="G34"/>
  <c r="G33"/>
  <c r="I33" s="1"/>
  <c r="J33" s="1"/>
  <c r="I32"/>
  <c r="J32" s="1"/>
  <c r="G32"/>
  <c r="G31"/>
  <c r="I31" s="1"/>
  <c r="J31" s="1"/>
  <c r="I30"/>
  <c r="J30" s="1"/>
  <c r="G30"/>
  <c r="G29"/>
  <c r="I29" s="1"/>
  <c r="J29" s="1"/>
  <c r="I28"/>
  <c r="J28" s="1"/>
  <c r="G28"/>
  <c r="G27"/>
  <c r="I27" s="1"/>
  <c r="J27" s="1"/>
  <c r="I26"/>
  <c r="J26" s="1"/>
  <c r="G26"/>
  <c r="G25"/>
  <c r="I25" s="1"/>
  <c r="J25" s="1"/>
  <c r="I24"/>
  <c r="J24" s="1"/>
  <c r="G24"/>
  <c r="G23"/>
  <c r="I23" s="1"/>
  <c r="J23" s="1"/>
  <c r="I22"/>
  <c r="J22" s="1"/>
  <c r="G22"/>
  <c r="G21"/>
  <c r="I21" s="1"/>
  <c r="J21" s="1"/>
  <c r="I20"/>
  <c r="J20" s="1"/>
  <c r="G20"/>
  <c r="G19"/>
  <c r="I19" s="1"/>
  <c r="J19" s="1"/>
  <c r="I18"/>
  <c r="J18" s="1"/>
  <c r="G18"/>
  <c r="G17"/>
  <c r="I17" s="1"/>
  <c r="J17" s="1"/>
  <c r="I16"/>
  <c r="J16" s="1"/>
  <c r="G16"/>
  <c r="G15"/>
  <c r="I15" s="1"/>
  <c r="J15" s="1"/>
  <c r="I14"/>
  <c r="J14" s="1"/>
  <c r="G14"/>
  <c r="G13"/>
  <c r="I13" s="1"/>
  <c r="J13" s="1"/>
  <c r="I12"/>
  <c r="J12" s="1"/>
  <c r="G12"/>
  <c r="G11"/>
  <c r="I11" s="1"/>
  <c r="J11" s="1"/>
  <c r="I10"/>
  <c r="J10" s="1"/>
  <c r="G10"/>
  <c r="G9"/>
  <c r="I9" s="1"/>
  <c r="J9" s="1"/>
  <c r="I8"/>
  <c r="J8" s="1"/>
  <c r="G8"/>
  <c r="G7"/>
  <c r="I7" s="1"/>
  <c r="J7" s="1"/>
  <c r="I6"/>
  <c r="J6" s="1"/>
  <c r="G6"/>
  <c r="G5"/>
  <c r="I5" s="1"/>
  <c r="J6" i="5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38"/>
  <c r="J39"/>
  <c r="J40"/>
  <c r="I45" i="8" l="1"/>
  <c r="E49" i="9"/>
  <c r="I45" i="11"/>
  <c r="E49"/>
  <c r="I45" i="12"/>
  <c r="E45" i="9"/>
  <c r="C44" i="13"/>
  <c r="C48" a="1"/>
  <c r="C48" s="1"/>
  <c r="I48"/>
  <c r="I49" s="1"/>
  <c r="J5"/>
  <c r="C48" i="12" a="1"/>
  <c r="C48" s="1"/>
  <c r="I48"/>
  <c r="I49" s="1"/>
  <c r="C44"/>
  <c r="J5"/>
  <c r="C48" i="11" a="1"/>
  <c r="C48" s="1"/>
  <c r="I48"/>
  <c r="I49" s="1"/>
  <c r="C44"/>
  <c r="J5"/>
  <c r="C48" i="9" a="1"/>
  <c r="C48" s="1"/>
  <c r="I48"/>
  <c r="I49" s="1"/>
  <c r="J5"/>
  <c r="C44"/>
  <c r="C44" i="8"/>
  <c r="C48" a="1"/>
  <c r="C48" s="1"/>
  <c r="I48"/>
  <c r="I49" s="1"/>
  <c r="J5"/>
  <c r="C44" i="7"/>
  <c r="J5"/>
  <c r="C48" a="1"/>
  <c r="C48" s="1"/>
  <c r="I48"/>
  <c r="I49" s="1"/>
  <c r="C48" i="6" a="1"/>
  <c r="C48" s="1"/>
  <c r="J5"/>
  <c r="I48"/>
  <c r="I49" s="1"/>
  <c r="C44"/>
  <c r="E48" i="5"/>
  <c r="I44"/>
  <c r="E44"/>
  <c r="H41"/>
  <c r="F41"/>
  <c r="E41"/>
  <c r="G40"/>
  <c r="I40" s="1"/>
  <c r="I39"/>
  <c r="G39"/>
  <c r="G38"/>
  <c r="I38" s="1"/>
  <c r="I37"/>
  <c r="G37"/>
  <c r="G36"/>
  <c r="I36" s="1"/>
  <c r="I35"/>
  <c r="G35"/>
  <c r="G34"/>
  <c r="I34" s="1"/>
  <c r="I33"/>
  <c r="G33"/>
  <c r="G32"/>
  <c r="I32" s="1"/>
  <c r="I31"/>
  <c r="G31"/>
  <c r="G30"/>
  <c r="I30" s="1"/>
  <c r="I29"/>
  <c r="G29"/>
  <c r="G28"/>
  <c r="I28" s="1"/>
  <c r="I27"/>
  <c r="G27"/>
  <c r="G26"/>
  <c r="I26" s="1"/>
  <c r="I25"/>
  <c r="G25"/>
  <c r="G24"/>
  <c r="I24" s="1"/>
  <c r="I23"/>
  <c r="G23"/>
  <c r="G22"/>
  <c r="I22" s="1"/>
  <c r="I21"/>
  <c r="G21"/>
  <c r="G20"/>
  <c r="I20" s="1"/>
  <c r="I19"/>
  <c r="G19"/>
  <c r="G18"/>
  <c r="I18" s="1"/>
  <c r="I17"/>
  <c r="G17"/>
  <c r="G16"/>
  <c r="I16" s="1"/>
  <c r="I15"/>
  <c r="G15"/>
  <c r="G14"/>
  <c r="I14" s="1"/>
  <c r="I13"/>
  <c r="G13"/>
  <c r="G12"/>
  <c r="I12" s="1"/>
  <c r="I11"/>
  <c r="G11"/>
  <c r="G10"/>
  <c r="I10" s="1"/>
  <c r="I9"/>
  <c r="G9"/>
  <c r="G8"/>
  <c r="I8" s="1"/>
  <c r="I7"/>
  <c r="G7"/>
  <c r="G6"/>
  <c r="I6" s="1"/>
  <c r="G5"/>
  <c r="I5" s="1"/>
  <c r="C48" s="1" a="1"/>
  <c r="C48" s="1"/>
  <c r="I45" l="1"/>
  <c r="E49"/>
  <c r="E45"/>
  <c r="I48"/>
  <c r="I49" s="1"/>
  <c r="J5"/>
  <c r="C44"/>
</calcChain>
</file>

<file path=xl/sharedStrings.xml><?xml version="1.0" encoding="utf-8"?>
<sst xmlns="http://schemas.openxmlformats.org/spreadsheetml/2006/main" count="208" uniqueCount="20">
  <si>
    <t>المادة:</t>
  </si>
  <si>
    <t>القسم:</t>
  </si>
  <si>
    <t>نتائج الفصل الأول</t>
  </si>
  <si>
    <t>اللقب و الإسم</t>
  </si>
  <si>
    <t>الإختبار</t>
  </si>
  <si>
    <t>الفرض1</t>
  </si>
  <si>
    <t>المعدل</t>
  </si>
  <si>
    <t>الفرض2</t>
  </si>
  <si>
    <t>فوق المعدل:</t>
  </si>
  <si>
    <t>النسبة % :</t>
  </si>
  <si>
    <t>الفرض 2:</t>
  </si>
  <si>
    <t>الفرض 1:</t>
  </si>
  <si>
    <t>الإختبار :</t>
  </si>
  <si>
    <t>المعدل :</t>
  </si>
  <si>
    <t>أدنى معدل:</t>
  </si>
  <si>
    <t>أعلى معدل:</t>
  </si>
  <si>
    <t>التقويم</t>
  </si>
  <si>
    <t>الرقم</t>
  </si>
  <si>
    <t>التقديرات</t>
  </si>
  <si>
    <t>م م المستمرة</t>
  </si>
</sst>
</file>

<file path=xl/styles.xml><?xml version="1.0" encoding="utf-8"?>
<styleSheet xmlns="http://schemas.openxmlformats.org/spreadsheetml/2006/main">
  <fonts count="14">
    <font>
      <sz val="11"/>
      <color theme="1"/>
      <name val="Calibri"/>
      <family val="2"/>
      <scheme val="minor"/>
    </font>
    <font>
      <sz val="16"/>
      <color theme="1"/>
      <name val="Arabic Typesetting"/>
      <family val="4"/>
    </font>
    <font>
      <sz val="16"/>
      <name val="Arabic Typesetting"/>
      <family val="4"/>
    </font>
    <font>
      <sz val="11"/>
      <color theme="1"/>
      <name val="Andalus"/>
      <family val="1"/>
    </font>
    <font>
      <sz val="10"/>
      <color theme="1"/>
      <name val="Andalus"/>
      <family val="1"/>
    </font>
    <font>
      <sz val="12"/>
      <color theme="1"/>
      <name val="Andalus"/>
      <family val="1"/>
    </font>
    <font>
      <sz val="9"/>
      <color theme="1"/>
      <name val="Andalus"/>
      <family val="1"/>
    </font>
    <font>
      <sz val="11"/>
      <name val="Calibri"/>
      <family val="2"/>
      <scheme val="minor"/>
    </font>
    <font>
      <u/>
      <sz val="12"/>
      <color theme="1"/>
      <name val="Andalus"/>
      <family val="1"/>
    </font>
    <font>
      <b/>
      <sz val="11"/>
      <color theme="1"/>
      <name val="Andalus"/>
      <family val="1"/>
    </font>
    <font>
      <sz val="11"/>
      <color theme="0" tint="-4.9989318521683403E-2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Arabic Typesetting"/>
      <family val="4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Protection="1">
      <protection locked="0"/>
    </xf>
    <xf numFmtId="0" fontId="0" fillId="0" borderId="1" xfId="0" applyBorder="1" applyProtection="1">
      <protection locked="0"/>
    </xf>
    <xf numFmtId="0" fontId="0" fillId="0" borderId="0" xfId="0" applyProtection="1"/>
    <xf numFmtId="0" fontId="1" fillId="2" borderId="1" xfId="0" applyFont="1" applyFill="1" applyBorder="1" applyAlignment="1" applyProtection="1">
      <alignment horizontal="center"/>
    </xf>
    <xf numFmtId="0" fontId="2" fillId="2" borderId="1" xfId="0" applyFont="1" applyFill="1" applyBorder="1" applyAlignment="1" applyProtection="1">
      <alignment horizontal="center"/>
    </xf>
    <xf numFmtId="0" fontId="4" fillId="0" borderId="1" xfId="0" applyFont="1" applyBorder="1" applyAlignment="1" applyProtection="1">
      <alignment horizontal="center"/>
    </xf>
    <xf numFmtId="0" fontId="3" fillId="0" borderId="1" xfId="0" applyFont="1" applyBorder="1" applyAlignment="1" applyProtection="1">
      <alignment horizontal="center"/>
    </xf>
    <xf numFmtId="0" fontId="6" fillId="0" borderId="1" xfId="0" applyFont="1" applyBorder="1" applyAlignment="1" applyProtection="1">
      <alignment horizontal="center"/>
    </xf>
    <xf numFmtId="2" fontId="3" fillId="0" borderId="1" xfId="0" applyNumberFormat="1" applyFont="1" applyBorder="1" applyAlignment="1" applyProtection="1">
      <alignment horizontal="center"/>
    </xf>
    <xf numFmtId="2" fontId="0" fillId="0" borderId="1" xfId="0" applyNumberFormat="1" applyBorder="1" applyAlignment="1" applyProtection="1">
      <alignment horizontal="center"/>
    </xf>
    <xf numFmtId="0" fontId="0" fillId="0" borderId="1" xfId="0" applyNumberFormat="1" applyBorder="1" applyAlignment="1" applyProtection="1">
      <alignment horizontal="center" vertical="top"/>
      <protection locked="0"/>
    </xf>
    <xf numFmtId="0" fontId="0" fillId="0" borderId="1" xfId="0" applyNumberFormat="1" applyBorder="1" applyAlignment="1" applyProtection="1">
      <alignment horizontal="center"/>
      <protection locked="0"/>
    </xf>
    <xf numFmtId="0" fontId="0" fillId="2" borderId="1" xfId="0" applyFill="1" applyBorder="1" applyAlignment="1" applyProtection="1">
      <alignment horizontal="center"/>
    </xf>
    <xf numFmtId="0" fontId="0" fillId="4" borderId="0" xfId="0" applyFill="1" applyProtection="1"/>
    <xf numFmtId="0" fontId="0" fillId="4" borderId="0" xfId="0" applyFill="1" applyAlignment="1" applyProtection="1">
      <alignment horizontal="left"/>
    </xf>
    <xf numFmtId="0" fontId="7" fillId="4" borderId="0" xfId="0" applyFont="1" applyFill="1" applyProtection="1">
      <protection hidden="1"/>
    </xf>
    <xf numFmtId="0" fontId="3" fillId="4" borderId="0" xfId="0" applyFont="1" applyFill="1" applyBorder="1" applyAlignment="1" applyProtection="1">
      <alignment horizontal="center"/>
    </xf>
    <xf numFmtId="2" fontId="9" fillId="4" borderId="0" xfId="0" applyNumberFormat="1" applyFont="1" applyFill="1" applyProtection="1"/>
    <xf numFmtId="0" fontId="10" fillId="4" borderId="0" xfId="0" applyFont="1" applyFill="1" applyProtection="1">
      <protection hidden="1"/>
    </xf>
    <xf numFmtId="0" fontId="8" fillId="4" borderId="0" xfId="0" applyFont="1" applyFill="1" applyProtection="1"/>
    <xf numFmtId="0" fontId="5" fillId="4" borderId="0" xfId="0" applyFont="1" applyFill="1" applyBorder="1" applyAlignment="1" applyProtection="1">
      <alignment horizontal="center"/>
    </xf>
    <xf numFmtId="0" fontId="11" fillId="4" borderId="0" xfId="0" applyFont="1" applyFill="1" applyProtection="1"/>
    <xf numFmtId="2" fontId="9" fillId="4" borderId="0" xfId="0" applyNumberFormat="1" applyFont="1" applyFill="1" applyBorder="1" applyProtection="1"/>
    <xf numFmtId="0" fontId="3" fillId="0" borderId="1" xfId="0" applyNumberFormat="1" applyFont="1" applyBorder="1" applyAlignment="1" applyProtection="1">
      <alignment horizontal="center"/>
    </xf>
    <xf numFmtId="0" fontId="12" fillId="2" borderId="1" xfId="0" applyFont="1" applyFill="1" applyBorder="1" applyAlignment="1" applyProtection="1">
      <alignment horizontal="center"/>
    </xf>
    <xf numFmtId="0" fontId="0" fillId="5" borderId="1" xfId="0" applyNumberFormat="1" applyFill="1" applyBorder="1" applyAlignment="1" applyProtection="1">
      <alignment horizontal="center"/>
      <protection hidden="1"/>
    </xf>
    <xf numFmtId="0" fontId="2" fillId="2" borderId="1" xfId="0" quotePrefix="1" applyFont="1" applyFill="1" applyBorder="1" applyAlignment="1" applyProtection="1">
      <alignment horizontal="center"/>
      <protection hidden="1"/>
    </xf>
    <xf numFmtId="0" fontId="13" fillId="0" borderId="1" xfId="0" applyFont="1" applyBorder="1" applyProtection="1"/>
    <xf numFmtId="0" fontId="2" fillId="2" borderId="1" xfId="0" applyFont="1" applyFill="1" applyBorder="1" applyAlignment="1" applyProtection="1">
      <alignment horizontal="center"/>
      <protection hidden="1"/>
    </xf>
    <xf numFmtId="0" fontId="0" fillId="3" borderId="0" xfId="0" applyFill="1" applyAlignment="1" applyProtection="1">
      <alignment horizontal="center"/>
      <protection locked="0"/>
    </xf>
  </cellXfs>
  <cellStyles count="1">
    <cellStyle name="Normal" xfId="0" builtinId="0"/>
  </cellStyles>
  <dxfs count="80">
    <dxf>
      <font>
        <b/>
        <i/>
        <color theme="1" tint="0.34998626667073579"/>
      </font>
    </dxf>
    <dxf>
      <fill>
        <patternFill>
          <bgColor rgb="FFFF660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rgb="FFFF0000"/>
        </patternFill>
      </fill>
    </dxf>
    <dxf>
      <fill>
        <patternFill>
          <bgColor rgb="FFFF6A2F"/>
        </patternFill>
      </fill>
    </dxf>
    <dxf>
      <fill>
        <patternFill patternType="none">
          <bgColor auto="1"/>
        </patternFill>
      </fill>
    </dxf>
    <dxf>
      <fill>
        <patternFill>
          <bgColor theme="4" tint="0.59996337778862885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ont>
        <b/>
        <i/>
        <color theme="1" tint="0.34998626667073579"/>
      </font>
    </dxf>
    <dxf>
      <fill>
        <patternFill>
          <bgColor rgb="FFFF660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rgb="FFFF0000"/>
        </patternFill>
      </fill>
    </dxf>
    <dxf>
      <fill>
        <patternFill>
          <bgColor rgb="FFFF6A2F"/>
        </patternFill>
      </fill>
    </dxf>
    <dxf>
      <fill>
        <patternFill patternType="none">
          <bgColor auto="1"/>
        </patternFill>
      </fill>
    </dxf>
    <dxf>
      <fill>
        <patternFill>
          <bgColor theme="4" tint="0.59996337778862885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ont>
        <b/>
        <i/>
        <color theme="1" tint="0.34998626667073579"/>
      </font>
    </dxf>
    <dxf>
      <fill>
        <patternFill>
          <bgColor rgb="FFFF660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rgb="FFFF0000"/>
        </patternFill>
      </fill>
    </dxf>
    <dxf>
      <fill>
        <patternFill>
          <bgColor rgb="FFFF6A2F"/>
        </patternFill>
      </fill>
    </dxf>
    <dxf>
      <fill>
        <patternFill patternType="none">
          <bgColor auto="1"/>
        </patternFill>
      </fill>
    </dxf>
    <dxf>
      <fill>
        <patternFill>
          <bgColor theme="4" tint="0.59996337778862885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ont>
        <b/>
        <i/>
        <color theme="1" tint="0.34998626667073579"/>
      </font>
    </dxf>
    <dxf>
      <fill>
        <patternFill>
          <bgColor rgb="FFFF660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rgb="FFFF0000"/>
        </patternFill>
      </fill>
    </dxf>
    <dxf>
      <fill>
        <patternFill>
          <bgColor rgb="FFFF6A2F"/>
        </patternFill>
      </fill>
    </dxf>
    <dxf>
      <fill>
        <patternFill patternType="none">
          <bgColor auto="1"/>
        </patternFill>
      </fill>
    </dxf>
    <dxf>
      <fill>
        <patternFill>
          <bgColor theme="4" tint="0.59996337778862885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ont>
        <b/>
        <i/>
        <color theme="1" tint="0.34998626667073579"/>
      </font>
    </dxf>
    <dxf>
      <fill>
        <patternFill>
          <bgColor rgb="FFFF660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rgb="FFFF0000"/>
        </patternFill>
      </fill>
    </dxf>
    <dxf>
      <fill>
        <patternFill>
          <bgColor rgb="FFFF6A2F"/>
        </patternFill>
      </fill>
    </dxf>
    <dxf>
      <fill>
        <patternFill patternType="none">
          <bgColor auto="1"/>
        </patternFill>
      </fill>
    </dxf>
    <dxf>
      <fill>
        <patternFill>
          <bgColor theme="4" tint="0.59996337778862885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ont>
        <b/>
        <i/>
        <color theme="1" tint="0.34998626667073579"/>
      </font>
    </dxf>
    <dxf>
      <fill>
        <patternFill>
          <bgColor rgb="FFFF660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rgb="FFFF0000"/>
        </patternFill>
      </fill>
    </dxf>
    <dxf>
      <fill>
        <patternFill>
          <bgColor rgb="FFFF6A2F"/>
        </patternFill>
      </fill>
    </dxf>
    <dxf>
      <fill>
        <patternFill patternType="none">
          <bgColor auto="1"/>
        </patternFill>
      </fill>
    </dxf>
    <dxf>
      <fill>
        <patternFill>
          <bgColor theme="4" tint="0.59996337778862885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ont>
        <b/>
        <i/>
        <color theme="1" tint="0.34998626667073579"/>
      </font>
    </dxf>
    <dxf>
      <fill>
        <patternFill>
          <bgColor rgb="FFFF660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rgb="FFFF0000"/>
        </patternFill>
      </fill>
    </dxf>
    <dxf>
      <fill>
        <patternFill>
          <bgColor rgb="FFFF6A2F"/>
        </patternFill>
      </fill>
    </dxf>
    <dxf>
      <fill>
        <patternFill patternType="none">
          <bgColor auto="1"/>
        </patternFill>
      </fill>
    </dxf>
    <dxf>
      <fill>
        <patternFill>
          <bgColor theme="4" tint="0.59996337778862885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ont>
        <b/>
        <i/>
        <color theme="1" tint="0.34998626667073579"/>
      </font>
    </dxf>
    <dxf>
      <fill>
        <patternFill>
          <bgColor rgb="FFFF660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rgb="FFFF0000"/>
        </patternFill>
      </fill>
    </dxf>
    <dxf>
      <fill>
        <patternFill>
          <bgColor rgb="FFFF6A2F"/>
        </patternFill>
      </fill>
    </dxf>
    <dxf>
      <fill>
        <patternFill patternType="none">
          <bgColor auto="1"/>
        </patternFill>
      </fill>
    </dxf>
    <dxf>
      <fill>
        <patternFill>
          <bgColor theme="4" tint="0.59996337778862885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Medium9"/>
  <colors>
    <mruColors>
      <color rgb="FFFF0000"/>
      <color rgb="FFFF6600"/>
      <color rgb="FFFF6A2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03"/>
  <sheetViews>
    <sheetView showGridLines="0" rightToLeft="1" tabSelected="1" zoomScale="130" zoomScaleNormal="130" zoomScaleSheetLayoutView="130" workbookViewId="0">
      <selection activeCell="E9" sqref="E9"/>
    </sheetView>
  </sheetViews>
  <sheetFormatPr baseColWidth="10" defaultColWidth="9.140625" defaultRowHeight="15"/>
  <cols>
    <col min="1" max="1" width="1.42578125" customWidth="1"/>
    <col min="2" max="2" width="4" customWidth="1"/>
    <col min="3" max="3" width="21.5703125" customWidth="1"/>
    <col min="4" max="4" width="8" customWidth="1"/>
    <col min="5" max="6" width="7.42578125" customWidth="1"/>
    <col min="7" max="7" width="7.5703125" customWidth="1"/>
    <col min="8" max="8" width="7.28515625" customWidth="1"/>
    <col min="9" max="9" width="9.5703125" customWidth="1"/>
    <col min="10" max="10" width="22.28515625" customWidth="1"/>
    <col min="11" max="11" width="7.7109375" customWidth="1"/>
    <col min="14" max="14" width="9.140625" customWidth="1"/>
  </cols>
  <sheetData>
    <row r="1" spans="1:10">
      <c r="A1" s="3"/>
      <c r="B1" s="14"/>
      <c r="C1" s="14"/>
      <c r="D1" s="14"/>
      <c r="E1" s="14"/>
      <c r="F1" s="14"/>
      <c r="G1" s="14"/>
      <c r="H1" s="14"/>
      <c r="I1" s="14"/>
      <c r="J1" s="14"/>
    </row>
    <row r="2" spans="1:10">
      <c r="A2" s="3"/>
      <c r="B2" s="14" t="s">
        <v>0</v>
      </c>
      <c r="C2" s="1"/>
      <c r="D2" s="14"/>
      <c r="E2" s="30" t="s">
        <v>2</v>
      </c>
      <c r="F2" s="30"/>
      <c r="G2" s="30"/>
      <c r="H2" s="14"/>
      <c r="I2" s="15" t="s">
        <v>1</v>
      </c>
      <c r="J2" s="1"/>
    </row>
    <row r="3" spans="1:10">
      <c r="A3" s="3"/>
      <c r="B3" s="14"/>
      <c r="C3" s="14"/>
      <c r="D3" s="14"/>
      <c r="E3" s="14"/>
      <c r="F3" s="14"/>
      <c r="G3" s="14"/>
      <c r="H3" s="14"/>
      <c r="I3" s="14"/>
      <c r="J3" s="14"/>
    </row>
    <row r="4" spans="1:10" ht="23.25">
      <c r="A4" s="3"/>
      <c r="B4" s="4" t="s">
        <v>17</v>
      </c>
      <c r="C4" s="5" t="s">
        <v>3</v>
      </c>
      <c r="D4" s="29" t="s">
        <v>16</v>
      </c>
      <c r="E4" s="5" t="s">
        <v>5</v>
      </c>
      <c r="F4" s="4" t="s">
        <v>7</v>
      </c>
      <c r="G4" s="25" t="s">
        <v>19</v>
      </c>
      <c r="H4" s="5" t="s">
        <v>4</v>
      </c>
      <c r="I4" s="4" t="s">
        <v>6</v>
      </c>
      <c r="J4" s="4" t="s">
        <v>18</v>
      </c>
    </row>
    <row r="5" spans="1:10">
      <c r="A5" s="3"/>
      <c r="B5" s="13">
        <v>1</v>
      </c>
      <c r="C5" s="2"/>
      <c r="D5" s="12">
        <v>10</v>
      </c>
      <c r="E5" s="12">
        <v>12</v>
      </c>
      <c r="F5" s="12">
        <v>20</v>
      </c>
      <c r="G5" s="10">
        <f t="shared" ref="G5:G40" si="0">(F5+E5+D5)/3</f>
        <v>14</v>
      </c>
      <c r="H5" s="11">
        <v>60</v>
      </c>
      <c r="I5" s="10">
        <f>((H5*3)+(G5*2))/5</f>
        <v>41.6</v>
      </c>
      <c r="J5" s="28" t="str">
        <f>IF(I5&gt;=16,"عمل ممتاز واصل بهذا النشاط",IF(I5&gt;=14,"تشكر على مجهوداتك ,واصل ",IF(I5&gt;=12,"عمل جيد يمكنك تحقيق الأفضل ",IF(I5&gt;=10,"عمل حسن كثف مجهودك ",IF(I5&gt;=9,"لا تيأس وحسِن مستواك  ",IF(I5&gt;=0.1," راجع دروسك واهتم أكثر",IF(I5=0,"      ","bad")))))))</f>
        <v>عمل ممتاز واصل بهذا النشاط</v>
      </c>
    </row>
    <row r="6" spans="1:10">
      <c r="A6" s="3"/>
      <c r="B6" s="13">
        <v>2</v>
      </c>
      <c r="C6" s="2"/>
      <c r="D6" s="12"/>
      <c r="E6" s="12"/>
      <c r="F6" s="12"/>
      <c r="G6" s="10">
        <f t="shared" si="0"/>
        <v>0</v>
      </c>
      <c r="H6" s="11"/>
      <c r="I6" s="10">
        <f t="shared" ref="I6:I40" si="1">((H6*3)+(G6*2))/5</f>
        <v>0</v>
      </c>
      <c r="J6" s="28" t="str">
        <f t="shared" ref="J6:J40" si="2">IF(I6&gt;=16,"عمل ممتاز واصل بهذا النشاط",IF(I6&gt;=14,"تشكر على مجهوداتك ,واصل ",IF(I6&gt;=12,"عمل جيد يمكنك تحقيق الأفضل ",IF(I6&gt;=10,"عمل حسن كثف مجهودك ",IF(I6&gt;=9,"لا تيأس وحسِن مستواك  ",IF(I6&gt;=0.1," راجع دروسك واهتم أكثر",IF(I6=0,"      ","bad")))))))</f>
        <v/>
      </c>
    </row>
    <row r="7" spans="1:10">
      <c r="A7" s="3"/>
      <c r="B7" s="13">
        <v>3</v>
      </c>
      <c r="C7" s="2"/>
      <c r="D7" s="12"/>
      <c r="E7" s="12"/>
      <c r="F7" s="12"/>
      <c r="G7" s="10">
        <f t="shared" si="0"/>
        <v>0</v>
      </c>
      <c r="H7" s="11"/>
      <c r="I7" s="10">
        <f t="shared" si="1"/>
        <v>0</v>
      </c>
      <c r="J7" s="28" t="str">
        <f t="shared" si="2"/>
        <v/>
      </c>
    </row>
    <row r="8" spans="1:10">
      <c r="A8" s="3"/>
      <c r="B8" s="13">
        <v>4</v>
      </c>
      <c r="C8" s="2"/>
      <c r="D8" s="12"/>
      <c r="E8" s="12"/>
      <c r="F8" s="12"/>
      <c r="G8" s="10">
        <f t="shared" si="0"/>
        <v>0</v>
      </c>
      <c r="H8" s="11"/>
      <c r="I8" s="10">
        <f t="shared" si="1"/>
        <v>0</v>
      </c>
      <c r="J8" s="28" t="str">
        <f t="shared" si="2"/>
        <v/>
      </c>
    </row>
    <row r="9" spans="1:10">
      <c r="A9" s="3"/>
      <c r="B9" s="13">
        <v>5</v>
      </c>
      <c r="C9" s="2"/>
      <c r="D9" s="12"/>
      <c r="E9" s="12"/>
      <c r="F9" s="12"/>
      <c r="G9" s="10">
        <f t="shared" si="0"/>
        <v>0</v>
      </c>
      <c r="H9" s="11"/>
      <c r="I9" s="10">
        <f t="shared" si="1"/>
        <v>0</v>
      </c>
      <c r="J9" s="28" t="str">
        <f t="shared" si="2"/>
        <v/>
      </c>
    </row>
    <row r="10" spans="1:10">
      <c r="A10" s="3"/>
      <c r="B10" s="13">
        <v>6</v>
      </c>
      <c r="C10" s="2"/>
      <c r="D10" s="12"/>
      <c r="E10" s="12"/>
      <c r="F10" s="12"/>
      <c r="G10" s="10">
        <f t="shared" si="0"/>
        <v>0</v>
      </c>
      <c r="H10" s="11"/>
      <c r="I10" s="10">
        <f t="shared" si="1"/>
        <v>0</v>
      </c>
      <c r="J10" s="28" t="str">
        <f t="shared" si="2"/>
        <v/>
      </c>
    </row>
    <row r="11" spans="1:10">
      <c r="A11" s="3"/>
      <c r="B11" s="13">
        <v>7</v>
      </c>
      <c r="C11" s="2"/>
      <c r="D11" s="12"/>
      <c r="E11" s="12"/>
      <c r="F11" s="12"/>
      <c r="G11" s="10">
        <f t="shared" si="0"/>
        <v>0</v>
      </c>
      <c r="H11" s="11"/>
      <c r="I11" s="10">
        <f t="shared" si="1"/>
        <v>0</v>
      </c>
      <c r="J11" s="28" t="str">
        <f t="shared" si="2"/>
        <v/>
      </c>
    </row>
    <row r="12" spans="1:10">
      <c r="A12" s="3"/>
      <c r="B12" s="13">
        <v>8</v>
      </c>
      <c r="C12" s="2"/>
      <c r="D12" s="12"/>
      <c r="E12" s="12"/>
      <c r="F12" s="12"/>
      <c r="G12" s="10">
        <f t="shared" si="0"/>
        <v>0</v>
      </c>
      <c r="H12" s="11"/>
      <c r="I12" s="10">
        <f t="shared" si="1"/>
        <v>0</v>
      </c>
      <c r="J12" s="28" t="str">
        <f t="shared" si="2"/>
        <v/>
      </c>
    </row>
    <row r="13" spans="1:10">
      <c r="A13" s="3"/>
      <c r="B13" s="13">
        <v>9</v>
      </c>
      <c r="C13" s="2"/>
      <c r="D13" s="12"/>
      <c r="E13" s="12"/>
      <c r="F13" s="12"/>
      <c r="G13" s="10">
        <f t="shared" si="0"/>
        <v>0</v>
      </c>
      <c r="H13" s="11"/>
      <c r="I13" s="10">
        <f t="shared" si="1"/>
        <v>0</v>
      </c>
      <c r="J13" s="28" t="str">
        <f t="shared" si="2"/>
        <v/>
      </c>
    </row>
    <row r="14" spans="1:10">
      <c r="A14" s="3"/>
      <c r="B14" s="13">
        <v>10</v>
      </c>
      <c r="C14" s="2"/>
      <c r="D14" s="12"/>
      <c r="E14" s="12"/>
      <c r="F14" s="12"/>
      <c r="G14" s="10">
        <f t="shared" si="0"/>
        <v>0</v>
      </c>
      <c r="H14" s="11"/>
      <c r="I14" s="10">
        <f t="shared" si="1"/>
        <v>0</v>
      </c>
      <c r="J14" s="28" t="str">
        <f t="shared" si="2"/>
        <v/>
      </c>
    </row>
    <row r="15" spans="1:10">
      <c r="A15" s="3"/>
      <c r="B15" s="13">
        <v>11</v>
      </c>
      <c r="C15" s="2"/>
      <c r="D15" s="12"/>
      <c r="E15" s="12"/>
      <c r="F15" s="12"/>
      <c r="G15" s="10">
        <f t="shared" si="0"/>
        <v>0</v>
      </c>
      <c r="H15" s="11"/>
      <c r="I15" s="10">
        <f t="shared" si="1"/>
        <v>0</v>
      </c>
      <c r="J15" s="28" t="str">
        <f t="shared" si="2"/>
        <v/>
      </c>
    </row>
    <row r="16" spans="1:10">
      <c r="A16" s="3"/>
      <c r="B16" s="13">
        <v>12</v>
      </c>
      <c r="C16" s="2"/>
      <c r="D16" s="12"/>
      <c r="E16" s="12"/>
      <c r="F16" s="12"/>
      <c r="G16" s="10">
        <f t="shared" si="0"/>
        <v>0</v>
      </c>
      <c r="H16" s="11"/>
      <c r="I16" s="10">
        <f t="shared" si="1"/>
        <v>0</v>
      </c>
      <c r="J16" s="28" t="str">
        <f t="shared" si="2"/>
        <v/>
      </c>
    </row>
    <row r="17" spans="1:10">
      <c r="A17" s="3"/>
      <c r="B17" s="13">
        <v>13</v>
      </c>
      <c r="C17" s="2"/>
      <c r="D17" s="12"/>
      <c r="E17" s="12"/>
      <c r="F17" s="12"/>
      <c r="G17" s="10">
        <f t="shared" si="0"/>
        <v>0</v>
      </c>
      <c r="H17" s="11"/>
      <c r="I17" s="10">
        <f t="shared" si="1"/>
        <v>0</v>
      </c>
      <c r="J17" s="28" t="str">
        <f t="shared" si="2"/>
        <v/>
      </c>
    </row>
    <row r="18" spans="1:10">
      <c r="A18" s="3"/>
      <c r="B18" s="13">
        <v>14</v>
      </c>
      <c r="C18" s="2"/>
      <c r="D18" s="12"/>
      <c r="E18" s="12"/>
      <c r="F18" s="12"/>
      <c r="G18" s="10">
        <f t="shared" si="0"/>
        <v>0</v>
      </c>
      <c r="H18" s="11"/>
      <c r="I18" s="10">
        <f t="shared" si="1"/>
        <v>0</v>
      </c>
      <c r="J18" s="28" t="str">
        <f t="shared" si="2"/>
        <v/>
      </c>
    </row>
    <row r="19" spans="1:10">
      <c r="A19" s="3"/>
      <c r="B19" s="13">
        <v>15</v>
      </c>
      <c r="C19" s="2"/>
      <c r="D19" s="12"/>
      <c r="E19" s="12"/>
      <c r="F19" s="12"/>
      <c r="G19" s="10">
        <f t="shared" si="0"/>
        <v>0</v>
      </c>
      <c r="H19" s="11"/>
      <c r="I19" s="10">
        <f t="shared" si="1"/>
        <v>0</v>
      </c>
      <c r="J19" s="28" t="str">
        <f t="shared" si="2"/>
        <v/>
      </c>
    </row>
    <row r="20" spans="1:10">
      <c r="A20" s="3"/>
      <c r="B20" s="13">
        <v>16</v>
      </c>
      <c r="C20" s="2"/>
      <c r="D20" s="12"/>
      <c r="E20" s="12"/>
      <c r="F20" s="12"/>
      <c r="G20" s="10">
        <f t="shared" si="0"/>
        <v>0</v>
      </c>
      <c r="H20" s="11"/>
      <c r="I20" s="10">
        <f t="shared" si="1"/>
        <v>0</v>
      </c>
      <c r="J20" s="28" t="str">
        <f t="shared" si="2"/>
        <v/>
      </c>
    </row>
    <row r="21" spans="1:10">
      <c r="A21" s="3"/>
      <c r="B21" s="13">
        <v>17</v>
      </c>
      <c r="C21" s="2"/>
      <c r="D21" s="12"/>
      <c r="E21" s="12"/>
      <c r="F21" s="12"/>
      <c r="G21" s="10">
        <f t="shared" si="0"/>
        <v>0</v>
      </c>
      <c r="H21" s="11"/>
      <c r="I21" s="10">
        <f t="shared" si="1"/>
        <v>0</v>
      </c>
      <c r="J21" s="28" t="str">
        <f t="shared" si="2"/>
        <v/>
      </c>
    </row>
    <row r="22" spans="1:10">
      <c r="A22" s="3"/>
      <c r="B22" s="13">
        <v>18</v>
      </c>
      <c r="C22" s="2"/>
      <c r="D22" s="12"/>
      <c r="E22" s="12"/>
      <c r="F22" s="12"/>
      <c r="G22" s="10">
        <f t="shared" si="0"/>
        <v>0</v>
      </c>
      <c r="H22" s="11"/>
      <c r="I22" s="10">
        <f t="shared" si="1"/>
        <v>0</v>
      </c>
      <c r="J22" s="28" t="str">
        <f t="shared" si="2"/>
        <v/>
      </c>
    </row>
    <row r="23" spans="1:10">
      <c r="A23" s="3"/>
      <c r="B23" s="13">
        <v>19</v>
      </c>
      <c r="C23" s="2"/>
      <c r="D23" s="12"/>
      <c r="E23" s="12"/>
      <c r="F23" s="12"/>
      <c r="G23" s="10">
        <f t="shared" si="0"/>
        <v>0</v>
      </c>
      <c r="H23" s="11"/>
      <c r="I23" s="10">
        <f t="shared" si="1"/>
        <v>0</v>
      </c>
      <c r="J23" s="28" t="str">
        <f t="shared" si="2"/>
        <v/>
      </c>
    </row>
    <row r="24" spans="1:10">
      <c r="A24" s="3"/>
      <c r="B24" s="13">
        <v>20</v>
      </c>
      <c r="C24" s="2"/>
      <c r="D24" s="12"/>
      <c r="E24" s="12"/>
      <c r="F24" s="12"/>
      <c r="G24" s="10">
        <f t="shared" si="0"/>
        <v>0</v>
      </c>
      <c r="H24" s="11"/>
      <c r="I24" s="10">
        <f t="shared" si="1"/>
        <v>0</v>
      </c>
      <c r="J24" s="28" t="str">
        <f t="shared" si="2"/>
        <v/>
      </c>
    </row>
    <row r="25" spans="1:10">
      <c r="A25" s="3"/>
      <c r="B25" s="13">
        <v>21</v>
      </c>
      <c r="C25" s="2"/>
      <c r="D25" s="12"/>
      <c r="E25" s="12"/>
      <c r="F25" s="12"/>
      <c r="G25" s="10">
        <f t="shared" si="0"/>
        <v>0</v>
      </c>
      <c r="H25" s="11"/>
      <c r="I25" s="10">
        <f t="shared" si="1"/>
        <v>0</v>
      </c>
      <c r="J25" s="28" t="str">
        <f t="shared" si="2"/>
        <v/>
      </c>
    </row>
    <row r="26" spans="1:10">
      <c r="A26" s="3"/>
      <c r="B26" s="13">
        <v>22</v>
      </c>
      <c r="C26" s="2"/>
      <c r="D26" s="12"/>
      <c r="E26" s="12"/>
      <c r="F26" s="12"/>
      <c r="G26" s="10">
        <f t="shared" si="0"/>
        <v>0</v>
      </c>
      <c r="H26" s="11"/>
      <c r="I26" s="10">
        <f t="shared" si="1"/>
        <v>0</v>
      </c>
      <c r="J26" s="28" t="str">
        <f t="shared" si="2"/>
        <v/>
      </c>
    </row>
    <row r="27" spans="1:10">
      <c r="A27" s="3"/>
      <c r="B27" s="13">
        <v>23</v>
      </c>
      <c r="C27" s="2"/>
      <c r="D27" s="12"/>
      <c r="E27" s="12"/>
      <c r="F27" s="12"/>
      <c r="G27" s="10">
        <f t="shared" si="0"/>
        <v>0</v>
      </c>
      <c r="H27" s="11"/>
      <c r="I27" s="10">
        <f t="shared" si="1"/>
        <v>0</v>
      </c>
      <c r="J27" s="28" t="str">
        <f t="shared" si="2"/>
        <v/>
      </c>
    </row>
    <row r="28" spans="1:10">
      <c r="A28" s="3"/>
      <c r="B28" s="13">
        <v>24</v>
      </c>
      <c r="C28" s="2"/>
      <c r="D28" s="12"/>
      <c r="E28" s="12"/>
      <c r="F28" s="12"/>
      <c r="G28" s="10">
        <f t="shared" si="0"/>
        <v>0</v>
      </c>
      <c r="H28" s="11"/>
      <c r="I28" s="10">
        <f t="shared" si="1"/>
        <v>0</v>
      </c>
      <c r="J28" s="28" t="str">
        <f t="shared" si="2"/>
        <v/>
      </c>
    </row>
    <row r="29" spans="1:10">
      <c r="A29" s="3"/>
      <c r="B29" s="13">
        <v>25</v>
      </c>
      <c r="C29" s="2"/>
      <c r="D29" s="12"/>
      <c r="E29" s="12"/>
      <c r="F29" s="12"/>
      <c r="G29" s="10">
        <f t="shared" si="0"/>
        <v>0</v>
      </c>
      <c r="H29" s="11"/>
      <c r="I29" s="10">
        <f t="shared" si="1"/>
        <v>0</v>
      </c>
      <c r="J29" s="28" t="str">
        <f t="shared" si="2"/>
        <v/>
      </c>
    </row>
    <row r="30" spans="1:10">
      <c r="A30" s="3"/>
      <c r="B30" s="13">
        <v>26</v>
      </c>
      <c r="C30" s="2"/>
      <c r="D30" s="12"/>
      <c r="E30" s="12"/>
      <c r="F30" s="12"/>
      <c r="G30" s="10">
        <f t="shared" si="0"/>
        <v>0</v>
      </c>
      <c r="H30" s="11"/>
      <c r="I30" s="10">
        <f t="shared" si="1"/>
        <v>0</v>
      </c>
      <c r="J30" s="28" t="str">
        <f t="shared" si="2"/>
        <v/>
      </c>
    </row>
    <row r="31" spans="1:10">
      <c r="A31" s="3"/>
      <c r="B31" s="13">
        <v>27</v>
      </c>
      <c r="C31" s="2"/>
      <c r="D31" s="12"/>
      <c r="E31" s="12"/>
      <c r="F31" s="12"/>
      <c r="G31" s="10">
        <f t="shared" si="0"/>
        <v>0</v>
      </c>
      <c r="H31" s="11"/>
      <c r="I31" s="10">
        <f t="shared" si="1"/>
        <v>0</v>
      </c>
      <c r="J31" s="28" t="str">
        <f t="shared" si="2"/>
        <v/>
      </c>
    </row>
    <row r="32" spans="1:10">
      <c r="A32" s="3"/>
      <c r="B32" s="13">
        <v>28</v>
      </c>
      <c r="C32" s="2"/>
      <c r="D32" s="12"/>
      <c r="E32" s="12"/>
      <c r="F32" s="12"/>
      <c r="G32" s="10">
        <f t="shared" si="0"/>
        <v>0</v>
      </c>
      <c r="H32" s="11"/>
      <c r="I32" s="10">
        <f t="shared" si="1"/>
        <v>0</v>
      </c>
      <c r="J32" s="28" t="str">
        <f t="shared" si="2"/>
        <v/>
      </c>
    </row>
    <row r="33" spans="1:10">
      <c r="A33" s="3"/>
      <c r="B33" s="13">
        <v>29</v>
      </c>
      <c r="C33" s="2"/>
      <c r="D33" s="12"/>
      <c r="E33" s="12"/>
      <c r="F33" s="12"/>
      <c r="G33" s="10">
        <f t="shared" si="0"/>
        <v>0</v>
      </c>
      <c r="H33" s="11"/>
      <c r="I33" s="10">
        <f t="shared" si="1"/>
        <v>0</v>
      </c>
      <c r="J33" s="28" t="str">
        <f t="shared" si="2"/>
        <v/>
      </c>
    </row>
    <row r="34" spans="1:10">
      <c r="A34" s="3"/>
      <c r="B34" s="13">
        <v>30</v>
      </c>
      <c r="C34" s="2"/>
      <c r="D34" s="12"/>
      <c r="E34" s="12"/>
      <c r="F34" s="12"/>
      <c r="G34" s="10">
        <f t="shared" si="0"/>
        <v>0</v>
      </c>
      <c r="H34" s="11"/>
      <c r="I34" s="10">
        <f t="shared" si="1"/>
        <v>0</v>
      </c>
      <c r="J34" s="28" t="str">
        <f t="shared" si="2"/>
        <v/>
      </c>
    </row>
    <row r="35" spans="1:10">
      <c r="A35" s="3"/>
      <c r="B35" s="13">
        <v>31</v>
      </c>
      <c r="C35" s="2"/>
      <c r="D35" s="12"/>
      <c r="E35" s="12"/>
      <c r="F35" s="12"/>
      <c r="G35" s="10">
        <f t="shared" si="0"/>
        <v>0</v>
      </c>
      <c r="H35" s="11"/>
      <c r="I35" s="10">
        <f t="shared" si="1"/>
        <v>0</v>
      </c>
      <c r="J35" s="28" t="str">
        <f t="shared" si="2"/>
        <v/>
      </c>
    </row>
    <row r="36" spans="1:10">
      <c r="A36" s="3"/>
      <c r="B36" s="13">
        <v>32</v>
      </c>
      <c r="C36" s="2"/>
      <c r="D36" s="12"/>
      <c r="E36" s="12"/>
      <c r="F36" s="12"/>
      <c r="G36" s="10">
        <f t="shared" si="0"/>
        <v>0</v>
      </c>
      <c r="H36" s="11"/>
      <c r="I36" s="10">
        <f t="shared" si="1"/>
        <v>0</v>
      </c>
      <c r="J36" s="28" t="str">
        <f t="shared" si="2"/>
        <v/>
      </c>
    </row>
    <row r="37" spans="1:10">
      <c r="A37" s="3"/>
      <c r="B37" s="13">
        <v>33</v>
      </c>
      <c r="C37" s="2"/>
      <c r="D37" s="12"/>
      <c r="E37" s="12"/>
      <c r="F37" s="12"/>
      <c r="G37" s="10">
        <f t="shared" si="0"/>
        <v>0</v>
      </c>
      <c r="H37" s="11"/>
      <c r="I37" s="10">
        <f t="shared" si="1"/>
        <v>0</v>
      </c>
      <c r="J37" s="28" t="str">
        <f t="shared" si="2"/>
        <v/>
      </c>
    </row>
    <row r="38" spans="1:10">
      <c r="A38" s="3"/>
      <c r="B38" s="13">
        <v>34</v>
      </c>
      <c r="C38" s="2"/>
      <c r="D38" s="12"/>
      <c r="E38" s="12"/>
      <c r="F38" s="12"/>
      <c r="G38" s="10">
        <f t="shared" si="0"/>
        <v>0</v>
      </c>
      <c r="H38" s="11"/>
      <c r="I38" s="10">
        <f t="shared" si="1"/>
        <v>0</v>
      </c>
      <c r="J38" s="28" t="str">
        <f t="shared" si="2"/>
        <v/>
      </c>
    </row>
    <row r="39" spans="1:10">
      <c r="A39" s="3"/>
      <c r="B39" s="13">
        <v>35</v>
      </c>
      <c r="C39" s="2"/>
      <c r="D39" s="12"/>
      <c r="E39" s="12"/>
      <c r="F39" s="12"/>
      <c r="G39" s="10">
        <f t="shared" si="0"/>
        <v>0</v>
      </c>
      <c r="H39" s="11"/>
      <c r="I39" s="10">
        <f t="shared" si="1"/>
        <v>0</v>
      </c>
      <c r="J39" s="28" t="str">
        <f t="shared" si="2"/>
        <v/>
      </c>
    </row>
    <row r="40" spans="1:10">
      <c r="A40" s="3"/>
      <c r="B40" s="13">
        <v>36</v>
      </c>
      <c r="C40" s="2"/>
      <c r="D40" s="12"/>
      <c r="E40" s="12"/>
      <c r="F40" s="12"/>
      <c r="G40" s="10">
        <f t="shared" si="0"/>
        <v>0</v>
      </c>
      <c r="H40" s="11"/>
      <c r="I40" s="10">
        <f t="shared" si="1"/>
        <v>0</v>
      </c>
      <c r="J40" s="28" t="str">
        <f t="shared" si="2"/>
        <v/>
      </c>
    </row>
    <row r="41" spans="1:10">
      <c r="A41" s="14"/>
      <c r="B41" s="14"/>
      <c r="C41" s="14"/>
      <c r="D41" s="16"/>
      <c r="E41" s="19">
        <f>COUNTA(E5:E40)</f>
        <v>1</v>
      </c>
      <c r="F41" s="19">
        <f>COUNTA(F5:F40)</f>
        <v>1</v>
      </c>
      <c r="G41" s="19"/>
      <c r="H41" s="19">
        <f>COUNTA(H5:H40)</f>
        <v>1</v>
      </c>
      <c r="I41" s="16"/>
      <c r="J41" s="14"/>
    </row>
    <row r="42" spans="1:10">
      <c r="A42" s="14"/>
      <c r="B42" s="14"/>
      <c r="C42" s="14"/>
      <c r="D42" s="14"/>
      <c r="E42" s="14"/>
      <c r="F42" s="14"/>
      <c r="G42" s="14"/>
      <c r="H42" s="14"/>
      <c r="I42" s="14"/>
      <c r="J42" s="14"/>
    </row>
    <row r="43" spans="1:10" ht="22.5">
      <c r="A43" s="14"/>
      <c r="B43" s="14"/>
      <c r="C43" s="20" t="s">
        <v>15</v>
      </c>
      <c r="D43" s="21" t="s">
        <v>11</v>
      </c>
      <c r="E43" s="21"/>
      <c r="F43" s="22"/>
      <c r="G43" s="22"/>
      <c r="H43" s="21" t="s">
        <v>12</v>
      </c>
      <c r="I43" s="17"/>
      <c r="J43" s="14"/>
    </row>
    <row r="44" spans="1:10" ht="21">
      <c r="A44" s="14"/>
      <c r="B44" s="14"/>
      <c r="C44" s="23">
        <f>MAX(I5:I40)</f>
        <v>41.6</v>
      </c>
      <c r="D44" s="6" t="s">
        <v>8</v>
      </c>
      <c r="E44" s="7">
        <f>COUNTIF(E5:E40,"&gt;=10")</f>
        <v>1</v>
      </c>
      <c r="F44" s="14"/>
      <c r="G44" s="14"/>
      <c r="H44" s="8" t="s">
        <v>8</v>
      </c>
      <c r="I44" s="7">
        <f>COUNTIF(H5:H40,"&gt;=10")</f>
        <v>1</v>
      </c>
      <c r="J44" s="14"/>
    </row>
    <row r="45" spans="1:10" ht="21">
      <c r="A45" s="14"/>
      <c r="B45" s="14"/>
      <c r="C45" s="14"/>
      <c r="D45" s="7" t="s">
        <v>9</v>
      </c>
      <c r="E45" s="24">
        <f>E44*100/E41</f>
        <v>100</v>
      </c>
      <c r="F45" s="14"/>
      <c r="G45" s="14"/>
      <c r="H45" s="7" t="s">
        <v>9</v>
      </c>
      <c r="I45" s="9">
        <f>I44*100/H41</f>
        <v>100</v>
      </c>
      <c r="J45" s="14"/>
    </row>
    <row r="46" spans="1:10">
      <c r="A46" s="14"/>
      <c r="B46" s="14"/>
      <c r="C46" s="14"/>
      <c r="D46" s="14"/>
      <c r="E46" s="14"/>
      <c r="F46" s="14"/>
      <c r="G46" s="14"/>
      <c r="H46" s="14"/>
      <c r="I46" s="14"/>
      <c r="J46" s="14"/>
    </row>
    <row r="47" spans="1:10" ht="22.5">
      <c r="A47" s="14"/>
      <c r="B47" s="14"/>
      <c r="C47" s="20" t="s">
        <v>14</v>
      </c>
      <c r="D47" s="21" t="s">
        <v>10</v>
      </c>
      <c r="E47" s="21"/>
      <c r="F47" s="22"/>
      <c r="G47" s="22"/>
      <c r="H47" s="21" t="s">
        <v>13</v>
      </c>
      <c r="I47" s="17"/>
      <c r="J47" s="14"/>
    </row>
    <row r="48" spans="1:10" ht="21">
      <c r="A48" s="14"/>
      <c r="B48" s="14"/>
      <c r="C48" s="18">
        <f t="array" ref="C48">MIN(IF(I5:I40&gt;0,I5:I40))</f>
        <v>41.6</v>
      </c>
      <c r="D48" s="6" t="s">
        <v>8</v>
      </c>
      <c r="E48" s="7">
        <f>COUNTIF(F5:F40,"&gt;=10")</f>
        <v>1</v>
      </c>
      <c r="F48" s="14"/>
      <c r="G48" s="14"/>
      <c r="H48" s="8" t="s">
        <v>8</v>
      </c>
      <c r="I48" s="7">
        <f>COUNTIF(I5:I40,"&gt;=10")</f>
        <v>1</v>
      </c>
      <c r="J48" s="14"/>
    </row>
    <row r="49" spans="1:10" ht="21">
      <c r="A49" s="14"/>
      <c r="B49" s="14"/>
      <c r="C49" s="14"/>
      <c r="D49" s="7" t="s">
        <v>9</v>
      </c>
      <c r="E49" s="7">
        <f>E48*100/F41</f>
        <v>100</v>
      </c>
      <c r="F49" s="14"/>
      <c r="G49" s="14"/>
      <c r="H49" s="7" t="s">
        <v>9</v>
      </c>
      <c r="I49" s="24">
        <f>I48*100/H41</f>
        <v>100</v>
      </c>
      <c r="J49" s="14"/>
    </row>
    <row r="50" spans="1:10">
      <c r="A50" s="14"/>
      <c r="B50" s="14"/>
      <c r="C50" s="14"/>
      <c r="D50" s="14"/>
      <c r="E50" s="14"/>
      <c r="F50" s="14"/>
      <c r="G50" s="14"/>
      <c r="H50" s="14"/>
      <c r="I50" s="14"/>
      <c r="J50" s="14"/>
    </row>
    <row r="51" spans="1:10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0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10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0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0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0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0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0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10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0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>
      <c r="A100" s="3"/>
      <c r="B100" s="3"/>
      <c r="C100" s="3"/>
      <c r="D100" s="3"/>
      <c r="E100" s="3"/>
      <c r="F100" s="3"/>
      <c r="G100" s="3"/>
      <c r="H100" s="3"/>
      <c r="I100" s="3"/>
      <c r="J100" s="3"/>
    </row>
    <row r="101" spans="1:10">
      <c r="A101" s="3"/>
      <c r="B101" s="3"/>
      <c r="C101" s="3"/>
      <c r="D101" s="3"/>
      <c r="E101" s="3"/>
      <c r="F101" s="3"/>
      <c r="G101" s="3"/>
      <c r="H101" s="3"/>
      <c r="I101" s="3"/>
      <c r="J101" s="3"/>
    </row>
    <row r="102" spans="1:10">
      <c r="A102" s="3"/>
      <c r="B102" s="3"/>
      <c r="C102" s="3"/>
      <c r="D102" s="3"/>
      <c r="E102" s="3"/>
      <c r="F102" s="3"/>
      <c r="G102" s="3"/>
      <c r="H102" s="3"/>
      <c r="I102" s="3"/>
      <c r="J102" s="3"/>
    </row>
    <row r="103" spans="1:10">
      <c r="A103" s="3"/>
      <c r="B103" s="3"/>
      <c r="C103" s="3"/>
      <c r="D103" s="3"/>
      <c r="E103" s="3"/>
      <c r="F103" s="3"/>
      <c r="G103" s="3"/>
      <c r="H103" s="3"/>
      <c r="I103" s="3"/>
      <c r="J103" s="3"/>
    </row>
  </sheetData>
  <sheetProtection sheet="1" objects="1" scenarios="1" selectLockedCells="1" sort="0"/>
  <mergeCells count="1">
    <mergeCell ref="E2:G2"/>
  </mergeCells>
  <conditionalFormatting sqref="I5:I40">
    <cfRule type="cellIs" dxfId="79" priority="10" operator="lessThan">
      <formula>10</formula>
    </cfRule>
  </conditionalFormatting>
  <conditionalFormatting sqref="I5:I40">
    <cfRule type="cellIs" dxfId="78" priority="9" operator="equal">
      <formula>0</formula>
    </cfRule>
  </conditionalFormatting>
  <conditionalFormatting sqref="H5:H40">
    <cfRule type="cellIs" dxfId="77" priority="8" operator="lessThan">
      <formula>10</formula>
    </cfRule>
  </conditionalFormatting>
  <conditionalFormatting sqref="H5:H40">
    <cfRule type="containsBlanks" dxfId="76" priority="7">
      <formula>LEN(TRIM(H5))=0</formula>
    </cfRule>
  </conditionalFormatting>
  <conditionalFormatting sqref="E45">
    <cfRule type="cellIs" dxfId="75" priority="6" operator="lessThan">
      <formula>50</formula>
    </cfRule>
  </conditionalFormatting>
  <conditionalFormatting sqref="I45">
    <cfRule type="cellIs" dxfId="74" priority="5" operator="lessThan">
      <formula>50</formula>
    </cfRule>
  </conditionalFormatting>
  <conditionalFormatting sqref="E49">
    <cfRule type="cellIs" dxfId="73" priority="4" operator="lessThan">
      <formula>50</formula>
    </cfRule>
  </conditionalFormatting>
  <conditionalFormatting sqref="I49">
    <cfRule type="cellIs" dxfId="72" priority="2" operator="lessThan">
      <formula>50</formula>
    </cfRule>
    <cfRule type="cellIs" dxfId="71" priority="3" operator="lessThan">
      <formula>50</formula>
    </cfRule>
  </conditionalFormatting>
  <conditionalFormatting sqref="D5:F40">
    <cfRule type="cellIs" dxfId="70" priority="1" operator="lessThan">
      <formula>10</formula>
    </cfRule>
  </conditionalFormatting>
  <pageMargins left="0.23622047244094491" right="0.23622047244094491" top="0.74803149606299213" bottom="0.19685039370078741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03"/>
  <sheetViews>
    <sheetView showGridLines="0" rightToLeft="1" zoomScale="130" zoomScaleNormal="130" zoomScaleSheetLayoutView="130" workbookViewId="0">
      <selection activeCell="H12" sqref="H12"/>
    </sheetView>
  </sheetViews>
  <sheetFormatPr baseColWidth="10" defaultColWidth="9.140625" defaultRowHeight="15"/>
  <cols>
    <col min="1" max="1" width="1.42578125" customWidth="1"/>
    <col min="2" max="2" width="4" customWidth="1"/>
    <col min="3" max="3" width="21.5703125" customWidth="1"/>
    <col min="4" max="4" width="8" customWidth="1"/>
    <col min="5" max="6" width="7.42578125" customWidth="1"/>
    <col min="7" max="7" width="7.5703125" customWidth="1"/>
    <col min="8" max="8" width="7.28515625" customWidth="1"/>
    <col min="9" max="9" width="9.5703125" customWidth="1"/>
    <col min="10" max="10" width="22.28515625" customWidth="1"/>
    <col min="11" max="11" width="7.7109375" customWidth="1"/>
    <col min="14" max="14" width="9.140625" customWidth="1"/>
  </cols>
  <sheetData>
    <row r="1" spans="1:10">
      <c r="A1" s="3"/>
      <c r="B1" s="14"/>
      <c r="C1" s="14"/>
      <c r="D1" s="14"/>
      <c r="E1" s="14"/>
      <c r="F1" s="14"/>
      <c r="G1" s="14"/>
      <c r="H1" s="14"/>
      <c r="I1" s="14"/>
      <c r="J1" s="14"/>
    </row>
    <row r="2" spans="1:10">
      <c r="A2" s="3"/>
      <c r="B2" s="14" t="s">
        <v>0</v>
      </c>
      <c r="C2" s="1"/>
      <c r="D2" s="14"/>
      <c r="E2" s="30" t="s">
        <v>2</v>
      </c>
      <c r="F2" s="30"/>
      <c r="G2" s="30"/>
      <c r="H2" s="14"/>
      <c r="I2" s="15" t="s">
        <v>1</v>
      </c>
      <c r="J2" s="1"/>
    </row>
    <row r="3" spans="1:10">
      <c r="A3" s="3"/>
      <c r="B3" s="14"/>
      <c r="C3" s="14"/>
      <c r="D3" s="14"/>
      <c r="E3" s="14"/>
      <c r="F3" s="14"/>
      <c r="G3" s="14"/>
      <c r="H3" s="14"/>
      <c r="I3" s="14"/>
      <c r="J3" s="14"/>
    </row>
    <row r="4" spans="1:10" ht="23.25">
      <c r="A4" s="3"/>
      <c r="B4" s="4" t="s">
        <v>17</v>
      </c>
      <c r="C4" s="5" t="s">
        <v>3</v>
      </c>
      <c r="D4" s="5" t="s">
        <v>16</v>
      </c>
      <c r="E4" s="5" t="s">
        <v>5</v>
      </c>
      <c r="F4" s="4" t="s">
        <v>7</v>
      </c>
      <c r="G4" s="25" t="s">
        <v>19</v>
      </c>
      <c r="H4" s="5" t="s">
        <v>4</v>
      </c>
      <c r="I4" s="4" t="s">
        <v>6</v>
      </c>
      <c r="J4" s="4" t="s">
        <v>18</v>
      </c>
    </row>
    <row r="5" spans="1:10">
      <c r="A5" s="3"/>
      <c r="B5" s="13">
        <v>1</v>
      </c>
      <c r="C5" s="2"/>
      <c r="D5" s="12"/>
      <c r="E5" s="12"/>
      <c r="F5" s="12"/>
      <c r="G5" s="10">
        <f t="shared" ref="G5:G40" si="0">(F5+E5+D5)/3</f>
        <v>0</v>
      </c>
      <c r="H5" s="11"/>
      <c r="I5" s="10">
        <f>((H5*3)+(G5*2))/5</f>
        <v>0</v>
      </c>
      <c r="J5" s="28" t="str">
        <f>IF(I5&gt;=16,"عمل ممتاز واصل بهذا النشاط",IF(I5&gt;=14,"تشكر على مجهوداتك ,واصل ",IF(I5&gt;=12,"عمل جيد يمكنك تحقيق الأفضل ",IF(I5&gt;=10,"عمل حسن كثف مجهودك ",IF(I5&gt;=9,"لا تيأس وحسِن مستواك  ",IF(I5&gt;=0.1," راجع دروسك واهتم أكثر",IF(I5=0,"      ","bad")))))))</f>
        <v/>
      </c>
    </row>
    <row r="6" spans="1:10">
      <c r="A6" s="3"/>
      <c r="B6" s="13">
        <v>2</v>
      </c>
      <c r="C6" s="2"/>
      <c r="D6" s="12"/>
      <c r="E6" s="12"/>
      <c r="F6" s="12"/>
      <c r="G6" s="10">
        <f t="shared" si="0"/>
        <v>0</v>
      </c>
      <c r="H6" s="11"/>
      <c r="I6" s="10">
        <f t="shared" ref="I6:I40" si="1">((H6*3)+(G6*2))/5</f>
        <v>0</v>
      </c>
      <c r="J6" s="28" t="str">
        <f t="shared" ref="J6:J40" si="2">IF(I6&gt;=16,"عمل ممتاز واصل بهذا النشاط",IF(I6&gt;=14,"تشكر على مجهوداتك ,واصل ",IF(I6&gt;=12,"عمل جيد يمكنك تحقيق الأفضل ",IF(I6&gt;=10,"عمل حسن كثف مجهودك ",IF(I6&gt;=9,"لا تيأس وحسِن مستواك  ",IF(I6&gt;=0.1," راجع دروسك واهتم أكثر",IF(I6=0,"      ","bad")))))))</f>
        <v/>
      </c>
    </row>
    <row r="7" spans="1:10">
      <c r="A7" s="3"/>
      <c r="B7" s="13">
        <v>3</v>
      </c>
      <c r="C7" s="2"/>
      <c r="D7" s="12"/>
      <c r="E7" s="12"/>
      <c r="F7" s="12"/>
      <c r="G7" s="10">
        <f t="shared" si="0"/>
        <v>0</v>
      </c>
      <c r="H7" s="11"/>
      <c r="I7" s="10">
        <f t="shared" si="1"/>
        <v>0</v>
      </c>
      <c r="J7" s="28" t="str">
        <f t="shared" si="2"/>
        <v/>
      </c>
    </row>
    <row r="8" spans="1:10">
      <c r="A8" s="3"/>
      <c r="B8" s="13">
        <v>4</v>
      </c>
      <c r="C8" s="2"/>
      <c r="D8" s="12"/>
      <c r="E8" s="12"/>
      <c r="F8" s="12"/>
      <c r="G8" s="10">
        <f t="shared" si="0"/>
        <v>0</v>
      </c>
      <c r="H8" s="11"/>
      <c r="I8" s="10">
        <f t="shared" si="1"/>
        <v>0</v>
      </c>
      <c r="J8" s="28" t="str">
        <f t="shared" si="2"/>
        <v/>
      </c>
    </row>
    <row r="9" spans="1:10">
      <c r="A9" s="3"/>
      <c r="B9" s="13">
        <v>5</v>
      </c>
      <c r="C9" s="2"/>
      <c r="D9" s="12"/>
      <c r="E9" s="12"/>
      <c r="F9" s="12"/>
      <c r="G9" s="10">
        <f t="shared" si="0"/>
        <v>0</v>
      </c>
      <c r="H9" s="11"/>
      <c r="I9" s="10">
        <f t="shared" si="1"/>
        <v>0</v>
      </c>
      <c r="J9" s="28" t="str">
        <f t="shared" si="2"/>
        <v/>
      </c>
    </row>
    <row r="10" spans="1:10">
      <c r="A10" s="3"/>
      <c r="B10" s="13">
        <v>6</v>
      </c>
      <c r="C10" s="2"/>
      <c r="D10" s="12"/>
      <c r="E10" s="12"/>
      <c r="F10" s="12"/>
      <c r="G10" s="10">
        <f t="shared" si="0"/>
        <v>0</v>
      </c>
      <c r="H10" s="11"/>
      <c r="I10" s="10">
        <f t="shared" si="1"/>
        <v>0</v>
      </c>
      <c r="J10" s="28" t="str">
        <f t="shared" si="2"/>
        <v/>
      </c>
    </row>
    <row r="11" spans="1:10">
      <c r="A11" s="3"/>
      <c r="B11" s="13">
        <v>7</v>
      </c>
      <c r="C11" s="2"/>
      <c r="D11" s="12"/>
      <c r="E11" s="12"/>
      <c r="F11" s="12"/>
      <c r="G11" s="10">
        <f t="shared" si="0"/>
        <v>0</v>
      </c>
      <c r="H11" s="11"/>
      <c r="I11" s="10">
        <f t="shared" si="1"/>
        <v>0</v>
      </c>
      <c r="J11" s="28" t="str">
        <f t="shared" si="2"/>
        <v/>
      </c>
    </row>
    <row r="12" spans="1:10">
      <c r="A12" s="3"/>
      <c r="B12" s="13">
        <v>8</v>
      </c>
      <c r="C12" s="2"/>
      <c r="D12" s="12"/>
      <c r="E12" s="12"/>
      <c r="F12" s="12"/>
      <c r="G12" s="10">
        <f t="shared" si="0"/>
        <v>0</v>
      </c>
      <c r="H12" s="11"/>
      <c r="I12" s="10">
        <f t="shared" si="1"/>
        <v>0</v>
      </c>
      <c r="J12" s="28" t="str">
        <f t="shared" si="2"/>
        <v/>
      </c>
    </row>
    <row r="13" spans="1:10">
      <c r="A13" s="3"/>
      <c r="B13" s="13">
        <v>9</v>
      </c>
      <c r="C13" s="2"/>
      <c r="D13" s="12"/>
      <c r="E13" s="12"/>
      <c r="F13" s="12"/>
      <c r="G13" s="10">
        <f t="shared" si="0"/>
        <v>0</v>
      </c>
      <c r="H13" s="11"/>
      <c r="I13" s="10">
        <f t="shared" si="1"/>
        <v>0</v>
      </c>
      <c r="J13" s="28" t="str">
        <f t="shared" si="2"/>
        <v/>
      </c>
    </row>
    <row r="14" spans="1:10">
      <c r="A14" s="3"/>
      <c r="B14" s="13">
        <v>10</v>
      </c>
      <c r="C14" s="2"/>
      <c r="D14" s="12"/>
      <c r="E14" s="12"/>
      <c r="F14" s="12"/>
      <c r="G14" s="10">
        <f t="shared" si="0"/>
        <v>0</v>
      </c>
      <c r="H14" s="11"/>
      <c r="I14" s="10">
        <f t="shared" si="1"/>
        <v>0</v>
      </c>
      <c r="J14" s="28" t="str">
        <f t="shared" si="2"/>
        <v/>
      </c>
    </row>
    <row r="15" spans="1:10">
      <c r="A15" s="3"/>
      <c r="B15" s="13">
        <v>11</v>
      </c>
      <c r="C15" s="2"/>
      <c r="D15" s="12"/>
      <c r="E15" s="12"/>
      <c r="F15" s="12"/>
      <c r="G15" s="10">
        <f t="shared" si="0"/>
        <v>0</v>
      </c>
      <c r="H15" s="11"/>
      <c r="I15" s="10">
        <f t="shared" si="1"/>
        <v>0</v>
      </c>
      <c r="J15" s="28" t="str">
        <f t="shared" si="2"/>
        <v/>
      </c>
    </row>
    <row r="16" spans="1:10">
      <c r="A16" s="3"/>
      <c r="B16" s="13">
        <v>12</v>
      </c>
      <c r="C16" s="2"/>
      <c r="D16" s="12"/>
      <c r="E16" s="12"/>
      <c r="F16" s="12"/>
      <c r="G16" s="10">
        <f t="shared" si="0"/>
        <v>0</v>
      </c>
      <c r="H16" s="11"/>
      <c r="I16" s="10">
        <f t="shared" si="1"/>
        <v>0</v>
      </c>
      <c r="J16" s="28" t="str">
        <f t="shared" si="2"/>
        <v/>
      </c>
    </row>
    <row r="17" spans="1:10">
      <c r="A17" s="3"/>
      <c r="B17" s="13">
        <v>13</v>
      </c>
      <c r="C17" s="2"/>
      <c r="D17" s="12"/>
      <c r="E17" s="12"/>
      <c r="F17" s="12"/>
      <c r="G17" s="10">
        <f t="shared" si="0"/>
        <v>0</v>
      </c>
      <c r="H17" s="11"/>
      <c r="I17" s="10">
        <f t="shared" si="1"/>
        <v>0</v>
      </c>
      <c r="J17" s="28" t="str">
        <f t="shared" si="2"/>
        <v/>
      </c>
    </row>
    <row r="18" spans="1:10">
      <c r="A18" s="3"/>
      <c r="B18" s="13">
        <v>14</v>
      </c>
      <c r="C18" s="2"/>
      <c r="D18" s="12"/>
      <c r="E18" s="12"/>
      <c r="F18" s="12"/>
      <c r="G18" s="10">
        <f t="shared" si="0"/>
        <v>0</v>
      </c>
      <c r="H18" s="11"/>
      <c r="I18" s="10">
        <f t="shared" si="1"/>
        <v>0</v>
      </c>
      <c r="J18" s="28" t="str">
        <f t="shared" si="2"/>
        <v/>
      </c>
    </row>
    <row r="19" spans="1:10">
      <c r="A19" s="3"/>
      <c r="B19" s="13">
        <v>15</v>
      </c>
      <c r="C19" s="2"/>
      <c r="D19" s="12"/>
      <c r="E19" s="12"/>
      <c r="F19" s="12"/>
      <c r="G19" s="10">
        <f t="shared" si="0"/>
        <v>0</v>
      </c>
      <c r="H19" s="11"/>
      <c r="I19" s="10">
        <f t="shared" si="1"/>
        <v>0</v>
      </c>
      <c r="J19" s="28" t="str">
        <f t="shared" si="2"/>
        <v/>
      </c>
    </row>
    <row r="20" spans="1:10">
      <c r="A20" s="3"/>
      <c r="B20" s="13">
        <v>16</v>
      </c>
      <c r="C20" s="2"/>
      <c r="D20" s="12"/>
      <c r="E20" s="12"/>
      <c r="F20" s="12"/>
      <c r="G20" s="10">
        <f t="shared" si="0"/>
        <v>0</v>
      </c>
      <c r="H20" s="11"/>
      <c r="I20" s="10">
        <f t="shared" si="1"/>
        <v>0</v>
      </c>
      <c r="J20" s="28" t="str">
        <f t="shared" si="2"/>
        <v/>
      </c>
    </row>
    <row r="21" spans="1:10">
      <c r="A21" s="3"/>
      <c r="B21" s="13">
        <v>17</v>
      </c>
      <c r="C21" s="2"/>
      <c r="D21" s="12"/>
      <c r="E21" s="12"/>
      <c r="F21" s="12"/>
      <c r="G21" s="10">
        <f t="shared" si="0"/>
        <v>0</v>
      </c>
      <c r="H21" s="11"/>
      <c r="I21" s="10">
        <f t="shared" si="1"/>
        <v>0</v>
      </c>
      <c r="J21" s="28" t="str">
        <f t="shared" si="2"/>
        <v/>
      </c>
    </row>
    <row r="22" spans="1:10">
      <c r="A22" s="3"/>
      <c r="B22" s="13">
        <v>18</v>
      </c>
      <c r="C22" s="2"/>
      <c r="D22" s="12"/>
      <c r="E22" s="12"/>
      <c r="F22" s="12"/>
      <c r="G22" s="10">
        <f t="shared" si="0"/>
        <v>0</v>
      </c>
      <c r="H22" s="11"/>
      <c r="I22" s="10">
        <f t="shared" si="1"/>
        <v>0</v>
      </c>
      <c r="J22" s="28" t="str">
        <f t="shared" si="2"/>
        <v/>
      </c>
    </row>
    <row r="23" spans="1:10">
      <c r="A23" s="3"/>
      <c r="B23" s="13">
        <v>19</v>
      </c>
      <c r="C23" s="2"/>
      <c r="D23" s="12"/>
      <c r="E23" s="12"/>
      <c r="F23" s="12"/>
      <c r="G23" s="10">
        <f t="shared" si="0"/>
        <v>0</v>
      </c>
      <c r="H23" s="11"/>
      <c r="I23" s="10">
        <f t="shared" si="1"/>
        <v>0</v>
      </c>
      <c r="J23" s="28" t="str">
        <f t="shared" si="2"/>
        <v/>
      </c>
    </row>
    <row r="24" spans="1:10">
      <c r="A24" s="3"/>
      <c r="B24" s="13">
        <v>20</v>
      </c>
      <c r="C24" s="2"/>
      <c r="D24" s="12"/>
      <c r="E24" s="12"/>
      <c r="F24" s="12"/>
      <c r="G24" s="10">
        <f t="shared" si="0"/>
        <v>0</v>
      </c>
      <c r="H24" s="11"/>
      <c r="I24" s="10">
        <f t="shared" si="1"/>
        <v>0</v>
      </c>
      <c r="J24" s="28" t="str">
        <f t="shared" si="2"/>
        <v/>
      </c>
    </row>
    <row r="25" spans="1:10">
      <c r="A25" s="3"/>
      <c r="B25" s="13">
        <v>21</v>
      </c>
      <c r="C25" s="2"/>
      <c r="D25" s="12"/>
      <c r="E25" s="12"/>
      <c r="F25" s="12"/>
      <c r="G25" s="10">
        <f t="shared" si="0"/>
        <v>0</v>
      </c>
      <c r="H25" s="11"/>
      <c r="I25" s="10">
        <f t="shared" si="1"/>
        <v>0</v>
      </c>
      <c r="J25" s="28" t="str">
        <f t="shared" si="2"/>
        <v/>
      </c>
    </row>
    <row r="26" spans="1:10">
      <c r="A26" s="3"/>
      <c r="B26" s="13">
        <v>22</v>
      </c>
      <c r="C26" s="2"/>
      <c r="D26" s="12"/>
      <c r="E26" s="12"/>
      <c r="F26" s="12"/>
      <c r="G26" s="10">
        <f t="shared" si="0"/>
        <v>0</v>
      </c>
      <c r="H26" s="11"/>
      <c r="I26" s="10">
        <f t="shared" si="1"/>
        <v>0</v>
      </c>
      <c r="J26" s="28" t="str">
        <f t="shared" si="2"/>
        <v/>
      </c>
    </row>
    <row r="27" spans="1:10">
      <c r="A27" s="3"/>
      <c r="B27" s="13">
        <v>23</v>
      </c>
      <c r="C27" s="2"/>
      <c r="D27" s="12"/>
      <c r="E27" s="12"/>
      <c r="F27" s="12"/>
      <c r="G27" s="10">
        <f t="shared" si="0"/>
        <v>0</v>
      </c>
      <c r="H27" s="11"/>
      <c r="I27" s="10">
        <f t="shared" si="1"/>
        <v>0</v>
      </c>
      <c r="J27" s="28" t="str">
        <f t="shared" si="2"/>
        <v/>
      </c>
    </row>
    <row r="28" spans="1:10">
      <c r="A28" s="3"/>
      <c r="B28" s="13">
        <v>24</v>
      </c>
      <c r="C28" s="2"/>
      <c r="D28" s="12"/>
      <c r="E28" s="12"/>
      <c r="F28" s="12"/>
      <c r="G28" s="10">
        <f t="shared" si="0"/>
        <v>0</v>
      </c>
      <c r="H28" s="11"/>
      <c r="I28" s="10">
        <f t="shared" si="1"/>
        <v>0</v>
      </c>
      <c r="J28" s="28" t="str">
        <f t="shared" si="2"/>
        <v/>
      </c>
    </row>
    <row r="29" spans="1:10">
      <c r="A29" s="3"/>
      <c r="B29" s="13">
        <v>25</v>
      </c>
      <c r="C29" s="2"/>
      <c r="D29" s="12"/>
      <c r="E29" s="12"/>
      <c r="F29" s="12"/>
      <c r="G29" s="10">
        <f t="shared" si="0"/>
        <v>0</v>
      </c>
      <c r="H29" s="11"/>
      <c r="I29" s="10">
        <f t="shared" si="1"/>
        <v>0</v>
      </c>
      <c r="J29" s="28" t="str">
        <f t="shared" si="2"/>
        <v/>
      </c>
    </row>
    <row r="30" spans="1:10">
      <c r="A30" s="3"/>
      <c r="B30" s="13">
        <v>26</v>
      </c>
      <c r="C30" s="2"/>
      <c r="D30" s="12"/>
      <c r="E30" s="12"/>
      <c r="F30" s="12"/>
      <c r="G30" s="10">
        <f t="shared" si="0"/>
        <v>0</v>
      </c>
      <c r="H30" s="11"/>
      <c r="I30" s="10">
        <f t="shared" si="1"/>
        <v>0</v>
      </c>
      <c r="J30" s="28" t="str">
        <f t="shared" si="2"/>
        <v/>
      </c>
    </row>
    <row r="31" spans="1:10">
      <c r="A31" s="3"/>
      <c r="B31" s="13">
        <v>27</v>
      </c>
      <c r="C31" s="2"/>
      <c r="D31" s="12"/>
      <c r="E31" s="12"/>
      <c r="F31" s="12"/>
      <c r="G31" s="10">
        <f t="shared" si="0"/>
        <v>0</v>
      </c>
      <c r="H31" s="11"/>
      <c r="I31" s="10">
        <f t="shared" si="1"/>
        <v>0</v>
      </c>
      <c r="J31" s="28" t="str">
        <f t="shared" si="2"/>
        <v/>
      </c>
    </row>
    <row r="32" spans="1:10">
      <c r="A32" s="3"/>
      <c r="B32" s="13">
        <v>28</v>
      </c>
      <c r="C32" s="2"/>
      <c r="D32" s="12"/>
      <c r="E32" s="12"/>
      <c r="F32" s="12"/>
      <c r="G32" s="10">
        <f t="shared" si="0"/>
        <v>0</v>
      </c>
      <c r="H32" s="11"/>
      <c r="I32" s="10">
        <f t="shared" si="1"/>
        <v>0</v>
      </c>
      <c r="J32" s="28" t="str">
        <f t="shared" si="2"/>
        <v/>
      </c>
    </row>
    <row r="33" spans="1:10">
      <c r="A33" s="3"/>
      <c r="B33" s="13">
        <v>29</v>
      </c>
      <c r="C33" s="2"/>
      <c r="D33" s="12"/>
      <c r="E33" s="12"/>
      <c r="F33" s="12"/>
      <c r="G33" s="10">
        <f t="shared" si="0"/>
        <v>0</v>
      </c>
      <c r="H33" s="11"/>
      <c r="I33" s="10">
        <f t="shared" si="1"/>
        <v>0</v>
      </c>
      <c r="J33" s="28" t="str">
        <f t="shared" si="2"/>
        <v/>
      </c>
    </row>
    <row r="34" spans="1:10">
      <c r="A34" s="3"/>
      <c r="B34" s="13">
        <v>30</v>
      </c>
      <c r="C34" s="2"/>
      <c r="D34" s="12"/>
      <c r="E34" s="12"/>
      <c r="F34" s="12"/>
      <c r="G34" s="10">
        <f t="shared" si="0"/>
        <v>0</v>
      </c>
      <c r="H34" s="11"/>
      <c r="I34" s="10">
        <f t="shared" si="1"/>
        <v>0</v>
      </c>
      <c r="J34" s="28" t="str">
        <f t="shared" si="2"/>
        <v/>
      </c>
    </row>
    <row r="35" spans="1:10">
      <c r="A35" s="3"/>
      <c r="B35" s="13">
        <v>31</v>
      </c>
      <c r="C35" s="2"/>
      <c r="D35" s="12"/>
      <c r="E35" s="12"/>
      <c r="F35" s="12"/>
      <c r="G35" s="10">
        <f t="shared" si="0"/>
        <v>0</v>
      </c>
      <c r="H35" s="11"/>
      <c r="I35" s="10">
        <f t="shared" si="1"/>
        <v>0</v>
      </c>
      <c r="J35" s="28" t="str">
        <f t="shared" si="2"/>
        <v/>
      </c>
    </row>
    <row r="36" spans="1:10">
      <c r="A36" s="3"/>
      <c r="B36" s="13">
        <v>32</v>
      </c>
      <c r="C36" s="2"/>
      <c r="D36" s="12"/>
      <c r="E36" s="12"/>
      <c r="F36" s="12"/>
      <c r="G36" s="10">
        <f t="shared" si="0"/>
        <v>0</v>
      </c>
      <c r="H36" s="11"/>
      <c r="I36" s="10">
        <f t="shared" si="1"/>
        <v>0</v>
      </c>
      <c r="J36" s="28" t="str">
        <f t="shared" si="2"/>
        <v/>
      </c>
    </row>
    <row r="37" spans="1:10">
      <c r="A37" s="3"/>
      <c r="B37" s="13">
        <v>33</v>
      </c>
      <c r="C37" s="2"/>
      <c r="D37" s="12"/>
      <c r="E37" s="12"/>
      <c r="F37" s="12"/>
      <c r="G37" s="10">
        <f t="shared" si="0"/>
        <v>0</v>
      </c>
      <c r="H37" s="11"/>
      <c r="I37" s="10">
        <f t="shared" si="1"/>
        <v>0</v>
      </c>
      <c r="J37" s="28" t="str">
        <f t="shared" si="2"/>
        <v/>
      </c>
    </row>
    <row r="38" spans="1:10">
      <c r="A38" s="3"/>
      <c r="B38" s="13">
        <v>34</v>
      </c>
      <c r="C38" s="2"/>
      <c r="D38" s="12"/>
      <c r="E38" s="12"/>
      <c r="F38" s="12"/>
      <c r="G38" s="10">
        <f t="shared" si="0"/>
        <v>0</v>
      </c>
      <c r="H38" s="11"/>
      <c r="I38" s="10">
        <f t="shared" si="1"/>
        <v>0</v>
      </c>
      <c r="J38" s="28" t="str">
        <f t="shared" si="2"/>
        <v/>
      </c>
    </row>
    <row r="39" spans="1:10">
      <c r="A39" s="3"/>
      <c r="B39" s="13">
        <v>35</v>
      </c>
      <c r="C39" s="2"/>
      <c r="D39" s="12"/>
      <c r="E39" s="12"/>
      <c r="F39" s="12"/>
      <c r="G39" s="10">
        <f t="shared" si="0"/>
        <v>0</v>
      </c>
      <c r="H39" s="11"/>
      <c r="I39" s="10">
        <f t="shared" si="1"/>
        <v>0</v>
      </c>
      <c r="J39" s="28" t="str">
        <f t="shared" si="2"/>
        <v/>
      </c>
    </row>
    <row r="40" spans="1:10">
      <c r="A40" s="3"/>
      <c r="B40" s="13">
        <v>36</v>
      </c>
      <c r="C40" s="2"/>
      <c r="D40" s="12"/>
      <c r="E40" s="12"/>
      <c r="F40" s="12"/>
      <c r="G40" s="10">
        <f t="shared" si="0"/>
        <v>0</v>
      </c>
      <c r="H40" s="11"/>
      <c r="I40" s="10">
        <f t="shared" si="1"/>
        <v>0</v>
      </c>
      <c r="J40" s="28" t="str">
        <f t="shared" si="2"/>
        <v/>
      </c>
    </row>
    <row r="41" spans="1:10">
      <c r="A41" s="14"/>
      <c r="B41" s="14"/>
      <c r="C41" s="14"/>
      <c r="D41" s="16"/>
      <c r="E41" s="19">
        <f>COUNTA(E5:E40)</f>
        <v>0</v>
      </c>
      <c r="F41" s="19">
        <f>COUNTA(F5:F40)</f>
        <v>0</v>
      </c>
      <c r="G41" s="19"/>
      <c r="H41" s="19">
        <f>COUNTA(H5:H40)</f>
        <v>0</v>
      </c>
      <c r="I41" s="16"/>
      <c r="J41" s="14"/>
    </row>
    <row r="42" spans="1:10">
      <c r="A42" s="14"/>
      <c r="B42" s="14"/>
      <c r="C42" s="14"/>
      <c r="D42" s="14"/>
      <c r="E42" s="14"/>
      <c r="F42" s="14"/>
      <c r="G42" s="14"/>
      <c r="H42" s="14"/>
      <c r="I42" s="14"/>
      <c r="J42" s="14"/>
    </row>
    <row r="43" spans="1:10" ht="22.5">
      <c r="A43" s="14"/>
      <c r="B43" s="14"/>
      <c r="C43" s="20" t="s">
        <v>15</v>
      </c>
      <c r="D43" s="21" t="s">
        <v>11</v>
      </c>
      <c r="E43" s="21"/>
      <c r="F43" s="22"/>
      <c r="G43" s="22"/>
      <c r="H43" s="21" t="s">
        <v>12</v>
      </c>
      <c r="I43" s="17"/>
      <c r="J43" s="14"/>
    </row>
    <row r="44" spans="1:10" ht="21">
      <c r="A44" s="14"/>
      <c r="B44" s="14"/>
      <c r="C44" s="23">
        <f>MAX(I5:I40)</f>
        <v>0</v>
      </c>
      <c r="D44" s="6" t="s">
        <v>8</v>
      </c>
      <c r="E44" s="7">
        <f>COUNTIF(E5:E40,"&gt;=10")</f>
        <v>0</v>
      </c>
      <c r="F44" s="14"/>
      <c r="G44" s="14"/>
      <c r="H44" s="8" t="s">
        <v>8</v>
      </c>
      <c r="I44" s="7">
        <f>COUNTIF(H5:H40,"&gt;=10")</f>
        <v>0</v>
      </c>
      <c r="J44" s="14"/>
    </row>
    <row r="45" spans="1:10" ht="21">
      <c r="A45" s="14"/>
      <c r="B45" s="14"/>
      <c r="C45" s="14"/>
      <c r="D45" s="7" t="s">
        <v>9</v>
      </c>
      <c r="E45" s="24" t="e">
        <f>E44*100/E41</f>
        <v>#DIV/0!</v>
      </c>
      <c r="F45" s="14"/>
      <c r="G45" s="14"/>
      <c r="H45" s="7" t="s">
        <v>9</v>
      </c>
      <c r="I45" s="9" t="e">
        <f>I44*100/H41</f>
        <v>#DIV/0!</v>
      </c>
      <c r="J45" s="14"/>
    </row>
    <row r="46" spans="1:10">
      <c r="A46" s="14"/>
      <c r="B46" s="14"/>
      <c r="C46" s="14"/>
      <c r="D46" s="14"/>
      <c r="E46" s="14"/>
      <c r="F46" s="14"/>
      <c r="G46" s="14"/>
      <c r="H46" s="14"/>
      <c r="I46" s="14"/>
      <c r="J46" s="14"/>
    </row>
    <row r="47" spans="1:10" ht="22.5">
      <c r="A47" s="14"/>
      <c r="B47" s="14"/>
      <c r="C47" s="20" t="s">
        <v>14</v>
      </c>
      <c r="D47" s="21" t="s">
        <v>10</v>
      </c>
      <c r="E47" s="21"/>
      <c r="F47" s="22"/>
      <c r="G47" s="22"/>
      <c r="H47" s="21" t="s">
        <v>13</v>
      </c>
      <c r="I47" s="17"/>
      <c r="J47" s="14"/>
    </row>
    <row r="48" spans="1:10" ht="21">
      <c r="A48" s="14"/>
      <c r="B48" s="14"/>
      <c r="C48" s="18">
        <f t="array" ref="C48">MIN(IF(I5:I40&gt;0,I5:I40))</f>
        <v>0</v>
      </c>
      <c r="D48" s="6" t="s">
        <v>8</v>
      </c>
      <c r="E48" s="7">
        <f>COUNTIF(F5:F40,"&gt;=10")</f>
        <v>0</v>
      </c>
      <c r="F48" s="14"/>
      <c r="G48" s="14"/>
      <c r="H48" s="8" t="s">
        <v>8</v>
      </c>
      <c r="I48" s="7">
        <f>COUNTIF(I5:I40,"&gt;=10")</f>
        <v>0</v>
      </c>
      <c r="J48" s="14"/>
    </row>
    <row r="49" spans="1:10" ht="21">
      <c r="A49" s="14"/>
      <c r="B49" s="14"/>
      <c r="C49" s="14"/>
      <c r="D49" s="7" t="s">
        <v>9</v>
      </c>
      <c r="E49" s="7" t="e">
        <f>E48*100/F41</f>
        <v>#DIV/0!</v>
      </c>
      <c r="F49" s="14"/>
      <c r="G49" s="14"/>
      <c r="H49" s="7" t="s">
        <v>9</v>
      </c>
      <c r="I49" s="24" t="e">
        <f>I48*100/H41</f>
        <v>#DIV/0!</v>
      </c>
      <c r="J49" s="14"/>
    </row>
    <row r="50" spans="1:10">
      <c r="A50" s="14"/>
      <c r="B50" s="14"/>
      <c r="C50" s="14"/>
      <c r="D50" s="14"/>
      <c r="E50" s="14"/>
      <c r="F50" s="14"/>
      <c r="G50" s="14"/>
      <c r="H50" s="14"/>
      <c r="I50" s="14"/>
      <c r="J50" s="14"/>
    </row>
    <row r="51" spans="1:10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0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10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0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0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0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0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0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10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0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>
      <c r="A100" s="3"/>
      <c r="B100" s="3"/>
      <c r="C100" s="3"/>
      <c r="D100" s="3"/>
      <c r="E100" s="3"/>
      <c r="F100" s="3"/>
      <c r="G100" s="3"/>
      <c r="H100" s="3"/>
      <c r="I100" s="3"/>
      <c r="J100" s="3"/>
    </row>
    <row r="101" spans="1:10">
      <c r="A101" s="3"/>
      <c r="B101" s="3"/>
      <c r="C101" s="3"/>
      <c r="D101" s="3"/>
      <c r="E101" s="3"/>
      <c r="F101" s="3"/>
      <c r="G101" s="3"/>
      <c r="H101" s="3"/>
      <c r="I101" s="3"/>
      <c r="J101" s="3"/>
    </row>
    <row r="102" spans="1:10">
      <c r="A102" s="3"/>
      <c r="B102" s="3"/>
      <c r="C102" s="3"/>
      <c r="D102" s="3"/>
      <c r="E102" s="3"/>
      <c r="F102" s="3"/>
      <c r="G102" s="3"/>
      <c r="H102" s="3"/>
      <c r="I102" s="3"/>
      <c r="J102" s="3"/>
    </row>
    <row r="103" spans="1:10">
      <c r="A103" s="3"/>
      <c r="B103" s="3"/>
      <c r="C103" s="3"/>
      <c r="D103" s="3"/>
      <c r="E103" s="3"/>
      <c r="F103" s="3"/>
      <c r="G103" s="3"/>
      <c r="H103" s="3"/>
      <c r="I103" s="3"/>
      <c r="J103" s="3"/>
    </row>
  </sheetData>
  <sheetProtection sheet="1" objects="1" scenarios="1" selectLockedCells="1" sort="0"/>
  <mergeCells count="1">
    <mergeCell ref="E2:G2"/>
  </mergeCells>
  <conditionalFormatting sqref="I5:I40">
    <cfRule type="cellIs" dxfId="69" priority="10" operator="lessThan">
      <formula>10</formula>
    </cfRule>
  </conditionalFormatting>
  <conditionalFormatting sqref="I5:I40">
    <cfRule type="cellIs" dxfId="68" priority="9" operator="equal">
      <formula>0</formula>
    </cfRule>
  </conditionalFormatting>
  <conditionalFormatting sqref="H5:H40">
    <cfRule type="cellIs" dxfId="67" priority="8" operator="lessThan">
      <formula>10</formula>
    </cfRule>
  </conditionalFormatting>
  <conditionalFormatting sqref="H5:H40">
    <cfRule type="containsBlanks" dxfId="66" priority="7">
      <formula>LEN(TRIM(H5))=0</formula>
    </cfRule>
  </conditionalFormatting>
  <conditionalFormatting sqref="E45">
    <cfRule type="cellIs" dxfId="65" priority="6" operator="lessThan">
      <formula>50</formula>
    </cfRule>
  </conditionalFormatting>
  <conditionalFormatting sqref="I45">
    <cfRule type="cellIs" dxfId="64" priority="5" operator="lessThan">
      <formula>50</formula>
    </cfRule>
  </conditionalFormatting>
  <conditionalFormatting sqref="E49">
    <cfRule type="cellIs" dxfId="63" priority="4" operator="lessThan">
      <formula>50</formula>
    </cfRule>
  </conditionalFormatting>
  <conditionalFormatting sqref="I49">
    <cfRule type="cellIs" dxfId="62" priority="2" operator="lessThan">
      <formula>50</formula>
    </cfRule>
    <cfRule type="cellIs" dxfId="61" priority="3" operator="lessThan">
      <formula>50</formula>
    </cfRule>
  </conditionalFormatting>
  <conditionalFormatting sqref="D5:F40">
    <cfRule type="cellIs" dxfId="60" priority="1" operator="lessThan">
      <formula>10</formula>
    </cfRule>
  </conditionalFormatting>
  <pageMargins left="0.23622047244094491" right="0.23622047244094491" top="0.74803149606299213" bottom="0.19685039370078741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03"/>
  <sheetViews>
    <sheetView showGridLines="0" rightToLeft="1" zoomScale="130" zoomScaleNormal="130" zoomScaleSheetLayoutView="130" workbookViewId="0">
      <selection activeCell="F14" sqref="F14"/>
    </sheetView>
  </sheetViews>
  <sheetFormatPr baseColWidth="10" defaultColWidth="9.140625" defaultRowHeight="15"/>
  <cols>
    <col min="1" max="1" width="1.42578125" customWidth="1"/>
    <col min="2" max="2" width="4" customWidth="1"/>
    <col min="3" max="3" width="21.5703125" customWidth="1"/>
    <col min="4" max="4" width="8" customWidth="1"/>
    <col min="5" max="6" width="7.42578125" customWidth="1"/>
    <col min="7" max="7" width="7.5703125" customWidth="1"/>
    <col min="8" max="8" width="7.28515625" customWidth="1"/>
    <col min="9" max="9" width="9.5703125" customWidth="1"/>
    <col min="10" max="10" width="22.28515625" customWidth="1"/>
    <col min="11" max="11" width="7.7109375" customWidth="1"/>
    <col min="14" max="14" width="9.140625" customWidth="1"/>
  </cols>
  <sheetData>
    <row r="1" spans="1:10">
      <c r="A1" s="3"/>
      <c r="B1" s="14"/>
      <c r="C1" s="14"/>
      <c r="D1" s="14"/>
      <c r="E1" s="14"/>
      <c r="F1" s="14"/>
      <c r="G1" s="14"/>
      <c r="H1" s="14"/>
      <c r="I1" s="14"/>
      <c r="J1" s="14"/>
    </row>
    <row r="2" spans="1:10">
      <c r="A2" s="3"/>
      <c r="B2" s="14" t="s">
        <v>0</v>
      </c>
      <c r="C2" s="1"/>
      <c r="D2" s="14"/>
      <c r="E2" s="30" t="s">
        <v>2</v>
      </c>
      <c r="F2" s="30"/>
      <c r="G2" s="30"/>
      <c r="H2" s="14"/>
      <c r="I2" s="15" t="s">
        <v>1</v>
      </c>
      <c r="J2" s="1"/>
    </row>
    <row r="3" spans="1:10">
      <c r="A3" s="3"/>
      <c r="B3" s="14"/>
      <c r="C3" s="14"/>
      <c r="D3" s="14"/>
      <c r="E3" s="14"/>
      <c r="F3" s="14"/>
      <c r="G3" s="14"/>
      <c r="H3" s="14"/>
      <c r="I3" s="14"/>
      <c r="J3" s="14"/>
    </row>
    <row r="4" spans="1:10" ht="23.25">
      <c r="A4" s="3"/>
      <c r="B4" s="4" t="s">
        <v>17</v>
      </c>
      <c r="C4" s="5" t="s">
        <v>3</v>
      </c>
      <c r="D4" s="5" t="s">
        <v>16</v>
      </c>
      <c r="E4" s="5" t="s">
        <v>5</v>
      </c>
      <c r="F4" s="4" t="s">
        <v>7</v>
      </c>
      <c r="G4" s="25" t="s">
        <v>19</v>
      </c>
      <c r="H4" s="5" t="s">
        <v>4</v>
      </c>
      <c r="I4" s="4" t="s">
        <v>6</v>
      </c>
      <c r="J4" s="4" t="s">
        <v>18</v>
      </c>
    </row>
    <row r="5" spans="1:10">
      <c r="A5" s="3"/>
      <c r="B5" s="13">
        <v>1</v>
      </c>
      <c r="C5" s="2"/>
      <c r="D5" s="12"/>
      <c r="E5" s="12"/>
      <c r="F5" s="12"/>
      <c r="G5" s="10">
        <f t="shared" ref="G5:G40" si="0">(F5+E5+D5)/3</f>
        <v>0</v>
      </c>
      <c r="H5" s="11"/>
      <c r="I5" s="10">
        <f>((H5*3)+(G5*2))/5</f>
        <v>0</v>
      </c>
      <c r="J5" s="28" t="str">
        <f>IF(I5&gt;=16,"عمل ممتاز واصل بهذا النشاط",IF(I5&gt;=14,"تشكر على مجهوداتك ,واصل ",IF(I5&gt;=12,"عمل جيد يمكنك تحقيق الأفضل ",IF(I5&gt;=10,"عمل حسن كثف مجهودك ",IF(I5&gt;=9,"لا تيأس وحسِن مستواك  ",IF(I5&gt;=0.1," راجع دروسك واهتم أكثر",IF(I5=0,"      ","bad")))))))</f>
        <v/>
      </c>
    </row>
    <row r="6" spans="1:10">
      <c r="A6" s="3"/>
      <c r="B6" s="13">
        <v>2</v>
      </c>
      <c r="C6" s="2"/>
      <c r="D6" s="12"/>
      <c r="E6" s="12"/>
      <c r="F6" s="12"/>
      <c r="G6" s="10">
        <f t="shared" si="0"/>
        <v>0</v>
      </c>
      <c r="H6" s="11"/>
      <c r="I6" s="10">
        <f t="shared" ref="I6:I40" si="1">((H6*3)+(G6*2))/5</f>
        <v>0</v>
      </c>
      <c r="J6" s="28" t="str">
        <f t="shared" ref="J6:J40" si="2">IF(I6&gt;=16,"عمل ممتاز واصل بهذا النشاط",IF(I6&gt;=14,"تشكر على مجهوداتك ,واصل ",IF(I6&gt;=12,"عمل جيد يمكنك تحقيق الأفضل ",IF(I6&gt;=10,"عمل حسن كثف مجهودك ",IF(I6&gt;=9,"لا تيأس وحسِن مستواك  ",IF(I6&gt;=0.1," راجع دروسك واهتم أكثر",IF(I6=0,"      ","bad")))))))</f>
        <v/>
      </c>
    </row>
    <row r="7" spans="1:10">
      <c r="A7" s="3"/>
      <c r="B7" s="13">
        <v>3</v>
      </c>
      <c r="C7" s="2"/>
      <c r="D7" s="12"/>
      <c r="E7" s="12"/>
      <c r="F7" s="12"/>
      <c r="G7" s="10">
        <f t="shared" si="0"/>
        <v>0</v>
      </c>
      <c r="H7" s="11"/>
      <c r="I7" s="10">
        <f t="shared" si="1"/>
        <v>0</v>
      </c>
      <c r="J7" s="28" t="str">
        <f t="shared" si="2"/>
        <v/>
      </c>
    </row>
    <row r="8" spans="1:10">
      <c r="A8" s="3"/>
      <c r="B8" s="13">
        <v>4</v>
      </c>
      <c r="C8" s="2"/>
      <c r="D8" s="12"/>
      <c r="E8" s="12"/>
      <c r="F8" s="12"/>
      <c r="G8" s="10">
        <f t="shared" si="0"/>
        <v>0</v>
      </c>
      <c r="H8" s="11"/>
      <c r="I8" s="10">
        <f t="shared" si="1"/>
        <v>0</v>
      </c>
      <c r="J8" s="28" t="str">
        <f t="shared" si="2"/>
        <v/>
      </c>
    </row>
    <row r="9" spans="1:10">
      <c r="A9" s="3"/>
      <c r="B9" s="13">
        <v>5</v>
      </c>
      <c r="C9" s="2"/>
      <c r="D9" s="12"/>
      <c r="E9" s="12"/>
      <c r="F9" s="12"/>
      <c r="G9" s="10">
        <f t="shared" si="0"/>
        <v>0</v>
      </c>
      <c r="H9" s="11"/>
      <c r="I9" s="10">
        <f t="shared" si="1"/>
        <v>0</v>
      </c>
      <c r="J9" s="28" t="str">
        <f t="shared" si="2"/>
        <v/>
      </c>
    </row>
    <row r="10" spans="1:10">
      <c r="A10" s="3"/>
      <c r="B10" s="13">
        <v>6</v>
      </c>
      <c r="C10" s="2"/>
      <c r="D10" s="12"/>
      <c r="E10" s="12"/>
      <c r="F10" s="12"/>
      <c r="G10" s="10">
        <f t="shared" si="0"/>
        <v>0</v>
      </c>
      <c r="H10" s="11"/>
      <c r="I10" s="10">
        <f t="shared" si="1"/>
        <v>0</v>
      </c>
      <c r="J10" s="28" t="str">
        <f t="shared" si="2"/>
        <v/>
      </c>
    </row>
    <row r="11" spans="1:10">
      <c r="A11" s="3"/>
      <c r="B11" s="13">
        <v>7</v>
      </c>
      <c r="C11" s="2"/>
      <c r="D11" s="12"/>
      <c r="E11" s="12"/>
      <c r="F11" s="12"/>
      <c r="G11" s="10">
        <f t="shared" si="0"/>
        <v>0</v>
      </c>
      <c r="H11" s="11"/>
      <c r="I11" s="10">
        <f t="shared" si="1"/>
        <v>0</v>
      </c>
      <c r="J11" s="28" t="str">
        <f t="shared" si="2"/>
        <v/>
      </c>
    </row>
    <row r="12" spans="1:10">
      <c r="A12" s="3"/>
      <c r="B12" s="13">
        <v>8</v>
      </c>
      <c r="C12" s="2"/>
      <c r="D12" s="12"/>
      <c r="E12" s="12"/>
      <c r="F12" s="12"/>
      <c r="G12" s="10">
        <f t="shared" si="0"/>
        <v>0</v>
      </c>
      <c r="H12" s="11"/>
      <c r="I12" s="10">
        <f t="shared" si="1"/>
        <v>0</v>
      </c>
      <c r="J12" s="28" t="str">
        <f t="shared" si="2"/>
        <v/>
      </c>
    </row>
    <row r="13" spans="1:10">
      <c r="A13" s="3"/>
      <c r="B13" s="13">
        <v>9</v>
      </c>
      <c r="C13" s="2"/>
      <c r="D13" s="12"/>
      <c r="E13" s="12"/>
      <c r="F13" s="12"/>
      <c r="G13" s="10">
        <f t="shared" si="0"/>
        <v>0</v>
      </c>
      <c r="H13" s="11"/>
      <c r="I13" s="10">
        <f t="shared" si="1"/>
        <v>0</v>
      </c>
      <c r="J13" s="28" t="str">
        <f t="shared" si="2"/>
        <v/>
      </c>
    </row>
    <row r="14" spans="1:10">
      <c r="A14" s="3"/>
      <c r="B14" s="13">
        <v>10</v>
      </c>
      <c r="C14" s="2"/>
      <c r="D14" s="12"/>
      <c r="E14" s="12"/>
      <c r="F14" s="12"/>
      <c r="G14" s="10">
        <f t="shared" si="0"/>
        <v>0</v>
      </c>
      <c r="H14" s="11"/>
      <c r="I14" s="10">
        <f t="shared" si="1"/>
        <v>0</v>
      </c>
      <c r="J14" s="28" t="str">
        <f t="shared" si="2"/>
        <v/>
      </c>
    </row>
    <row r="15" spans="1:10">
      <c r="A15" s="3"/>
      <c r="B15" s="13">
        <v>11</v>
      </c>
      <c r="C15" s="2"/>
      <c r="D15" s="12"/>
      <c r="E15" s="12"/>
      <c r="F15" s="12"/>
      <c r="G15" s="10">
        <f t="shared" si="0"/>
        <v>0</v>
      </c>
      <c r="H15" s="11"/>
      <c r="I15" s="10">
        <f t="shared" si="1"/>
        <v>0</v>
      </c>
      <c r="J15" s="28" t="str">
        <f t="shared" si="2"/>
        <v/>
      </c>
    </row>
    <row r="16" spans="1:10">
      <c r="A16" s="3"/>
      <c r="B16" s="13">
        <v>12</v>
      </c>
      <c r="C16" s="2"/>
      <c r="D16" s="12"/>
      <c r="E16" s="12"/>
      <c r="F16" s="12"/>
      <c r="G16" s="10">
        <f t="shared" si="0"/>
        <v>0</v>
      </c>
      <c r="H16" s="11"/>
      <c r="I16" s="10">
        <f t="shared" si="1"/>
        <v>0</v>
      </c>
      <c r="J16" s="28" t="str">
        <f t="shared" si="2"/>
        <v/>
      </c>
    </row>
    <row r="17" spans="1:10">
      <c r="A17" s="3"/>
      <c r="B17" s="13">
        <v>13</v>
      </c>
      <c r="C17" s="2"/>
      <c r="D17" s="12"/>
      <c r="E17" s="12"/>
      <c r="F17" s="12"/>
      <c r="G17" s="10">
        <f t="shared" si="0"/>
        <v>0</v>
      </c>
      <c r="H17" s="11"/>
      <c r="I17" s="10">
        <f t="shared" si="1"/>
        <v>0</v>
      </c>
      <c r="J17" s="28" t="str">
        <f t="shared" si="2"/>
        <v/>
      </c>
    </row>
    <row r="18" spans="1:10">
      <c r="A18" s="3"/>
      <c r="B18" s="13">
        <v>14</v>
      </c>
      <c r="C18" s="2"/>
      <c r="D18" s="12"/>
      <c r="E18" s="12"/>
      <c r="F18" s="12"/>
      <c r="G18" s="10">
        <f t="shared" si="0"/>
        <v>0</v>
      </c>
      <c r="H18" s="11"/>
      <c r="I18" s="10">
        <f t="shared" si="1"/>
        <v>0</v>
      </c>
      <c r="J18" s="28" t="str">
        <f t="shared" si="2"/>
        <v/>
      </c>
    </row>
    <row r="19" spans="1:10">
      <c r="A19" s="3"/>
      <c r="B19" s="13">
        <v>15</v>
      </c>
      <c r="C19" s="2"/>
      <c r="D19" s="12"/>
      <c r="E19" s="12"/>
      <c r="F19" s="12"/>
      <c r="G19" s="10">
        <f t="shared" si="0"/>
        <v>0</v>
      </c>
      <c r="H19" s="11"/>
      <c r="I19" s="10">
        <f t="shared" si="1"/>
        <v>0</v>
      </c>
      <c r="J19" s="28" t="str">
        <f t="shared" si="2"/>
        <v/>
      </c>
    </row>
    <row r="20" spans="1:10">
      <c r="A20" s="3"/>
      <c r="B20" s="13">
        <v>16</v>
      </c>
      <c r="C20" s="2"/>
      <c r="D20" s="12"/>
      <c r="E20" s="12"/>
      <c r="F20" s="12"/>
      <c r="G20" s="10">
        <f t="shared" si="0"/>
        <v>0</v>
      </c>
      <c r="H20" s="11"/>
      <c r="I20" s="10">
        <f t="shared" si="1"/>
        <v>0</v>
      </c>
      <c r="J20" s="28" t="str">
        <f t="shared" si="2"/>
        <v/>
      </c>
    </row>
    <row r="21" spans="1:10">
      <c r="A21" s="3"/>
      <c r="B21" s="13">
        <v>17</v>
      </c>
      <c r="C21" s="2"/>
      <c r="D21" s="12"/>
      <c r="E21" s="12"/>
      <c r="F21" s="12"/>
      <c r="G21" s="10">
        <f t="shared" si="0"/>
        <v>0</v>
      </c>
      <c r="H21" s="11"/>
      <c r="I21" s="10">
        <f t="shared" si="1"/>
        <v>0</v>
      </c>
      <c r="J21" s="28" t="str">
        <f t="shared" si="2"/>
        <v/>
      </c>
    </row>
    <row r="22" spans="1:10">
      <c r="A22" s="3"/>
      <c r="B22" s="13">
        <v>18</v>
      </c>
      <c r="C22" s="2"/>
      <c r="D22" s="12"/>
      <c r="E22" s="12"/>
      <c r="F22" s="12"/>
      <c r="G22" s="10">
        <f t="shared" si="0"/>
        <v>0</v>
      </c>
      <c r="H22" s="11"/>
      <c r="I22" s="10">
        <f t="shared" si="1"/>
        <v>0</v>
      </c>
      <c r="J22" s="28" t="str">
        <f t="shared" si="2"/>
        <v/>
      </c>
    </row>
    <row r="23" spans="1:10">
      <c r="A23" s="3"/>
      <c r="B23" s="13">
        <v>19</v>
      </c>
      <c r="C23" s="2"/>
      <c r="D23" s="12"/>
      <c r="E23" s="12"/>
      <c r="F23" s="12"/>
      <c r="G23" s="10">
        <f t="shared" si="0"/>
        <v>0</v>
      </c>
      <c r="H23" s="11"/>
      <c r="I23" s="10">
        <f t="shared" si="1"/>
        <v>0</v>
      </c>
      <c r="J23" s="28" t="str">
        <f t="shared" si="2"/>
        <v/>
      </c>
    </row>
    <row r="24" spans="1:10">
      <c r="A24" s="3"/>
      <c r="B24" s="13">
        <v>20</v>
      </c>
      <c r="C24" s="2"/>
      <c r="D24" s="12"/>
      <c r="E24" s="12"/>
      <c r="F24" s="12"/>
      <c r="G24" s="10">
        <f t="shared" si="0"/>
        <v>0</v>
      </c>
      <c r="H24" s="11"/>
      <c r="I24" s="10">
        <f t="shared" si="1"/>
        <v>0</v>
      </c>
      <c r="J24" s="28" t="str">
        <f t="shared" si="2"/>
        <v/>
      </c>
    </row>
    <row r="25" spans="1:10">
      <c r="A25" s="3"/>
      <c r="B25" s="13">
        <v>21</v>
      </c>
      <c r="C25" s="2"/>
      <c r="D25" s="12"/>
      <c r="E25" s="12"/>
      <c r="F25" s="12"/>
      <c r="G25" s="10">
        <f t="shared" si="0"/>
        <v>0</v>
      </c>
      <c r="H25" s="11"/>
      <c r="I25" s="10">
        <f t="shared" si="1"/>
        <v>0</v>
      </c>
      <c r="J25" s="28" t="str">
        <f t="shared" si="2"/>
        <v/>
      </c>
    </row>
    <row r="26" spans="1:10">
      <c r="A26" s="3"/>
      <c r="B26" s="13">
        <v>22</v>
      </c>
      <c r="C26" s="2"/>
      <c r="D26" s="12"/>
      <c r="E26" s="12"/>
      <c r="F26" s="12"/>
      <c r="G26" s="10">
        <f t="shared" si="0"/>
        <v>0</v>
      </c>
      <c r="H26" s="11"/>
      <c r="I26" s="10">
        <f t="shared" si="1"/>
        <v>0</v>
      </c>
      <c r="J26" s="28" t="str">
        <f t="shared" si="2"/>
        <v/>
      </c>
    </row>
    <row r="27" spans="1:10">
      <c r="A27" s="3"/>
      <c r="B27" s="13">
        <v>23</v>
      </c>
      <c r="C27" s="2"/>
      <c r="D27" s="12"/>
      <c r="E27" s="12"/>
      <c r="F27" s="12"/>
      <c r="G27" s="10">
        <f t="shared" si="0"/>
        <v>0</v>
      </c>
      <c r="H27" s="11"/>
      <c r="I27" s="10">
        <f t="shared" si="1"/>
        <v>0</v>
      </c>
      <c r="J27" s="28" t="str">
        <f t="shared" si="2"/>
        <v/>
      </c>
    </row>
    <row r="28" spans="1:10">
      <c r="A28" s="3"/>
      <c r="B28" s="13">
        <v>24</v>
      </c>
      <c r="C28" s="2"/>
      <c r="D28" s="12"/>
      <c r="E28" s="12"/>
      <c r="F28" s="12"/>
      <c r="G28" s="10">
        <f t="shared" si="0"/>
        <v>0</v>
      </c>
      <c r="H28" s="11"/>
      <c r="I28" s="10">
        <f t="shared" si="1"/>
        <v>0</v>
      </c>
      <c r="J28" s="28" t="str">
        <f t="shared" si="2"/>
        <v/>
      </c>
    </row>
    <row r="29" spans="1:10">
      <c r="A29" s="3"/>
      <c r="B29" s="13">
        <v>25</v>
      </c>
      <c r="C29" s="2"/>
      <c r="D29" s="12"/>
      <c r="E29" s="12"/>
      <c r="F29" s="12"/>
      <c r="G29" s="10">
        <f t="shared" si="0"/>
        <v>0</v>
      </c>
      <c r="H29" s="11"/>
      <c r="I29" s="10">
        <f t="shared" si="1"/>
        <v>0</v>
      </c>
      <c r="J29" s="28" t="str">
        <f t="shared" si="2"/>
        <v/>
      </c>
    </row>
    <row r="30" spans="1:10">
      <c r="A30" s="3"/>
      <c r="B30" s="13">
        <v>26</v>
      </c>
      <c r="C30" s="2"/>
      <c r="D30" s="12"/>
      <c r="E30" s="12"/>
      <c r="F30" s="12"/>
      <c r="G30" s="10">
        <f t="shared" si="0"/>
        <v>0</v>
      </c>
      <c r="H30" s="11"/>
      <c r="I30" s="10">
        <f t="shared" si="1"/>
        <v>0</v>
      </c>
      <c r="J30" s="28" t="str">
        <f t="shared" si="2"/>
        <v/>
      </c>
    </row>
    <row r="31" spans="1:10">
      <c r="A31" s="3"/>
      <c r="B31" s="13">
        <v>27</v>
      </c>
      <c r="C31" s="2"/>
      <c r="D31" s="12"/>
      <c r="E31" s="12"/>
      <c r="F31" s="12"/>
      <c r="G31" s="10">
        <f t="shared" si="0"/>
        <v>0</v>
      </c>
      <c r="H31" s="11"/>
      <c r="I31" s="10">
        <f t="shared" si="1"/>
        <v>0</v>
      </c>
      <c r="J31" s="28" t="str">
        <f t="shared" si="2"/>
        <v/>
      </c>
    </row>
    <row r="32" spans="1:10">
      <c r="A32" s="3"/>
      <c r="B32" s="13">
        <v>28</v>
      </c>
      <c r="C32" s="2"/>
      <c r="D32" s="12"/>
      <c r="E32" s="12"/>
      <c r="F32" s="12"/>
      <c r="G32" s="10">
        <f t="shared" si="0"/>
        <v>0</v>
      </c>
      <c r="H32" s="11"/>
      <c r="I32" s="10">
        <f t="shared" si="1"/>
        <v>0</v>
      </c>
      <c r="J32" s="28" t="str">
        <f t="shared" si="2"/>
        <v/>
      </c>
    </row>
    <row r="33" spans="1:10">
      <c r="A33" s="3"/>
      <c r="B33" s="13">
        <v>29</v>
      </c>
      <c r="C33" s="2"/>
      <c r="D33" s="12"/>
      <c r="E33" s="12"/>
      <c r="F33" s="12"/>
      <c r="G33" s="10">
        <f t="shared" si="0"/>
        <v>0</v>
      </c>
      <c r="H33" s="11"/>
      <c r="I33" s="10">
        <f t="shared" si="1"/>
        <v>0</v>
      </c>
      <c r="J33" s="28" t="str">
        <f t="shared" si="2"/>
        <v/>
      </c>
    </row>
    <row r="34" spans="1:10">
      <c r="A34" s="3"/>
      <c r="B34" s="13">
        <v>30</v>
      </c>
      <c r="C34" s="2"/>
      <c r="D34" s="12"/>
      <c r="E34" s="12"/>
      <c r="F34" s="12"/>
      <c r="G34" s="10">
        <f t="shared" si="0"/>
        <v>0</v>
      </c>
      <c r="H34" s="11"/>
      <c r="I34" s="10">
        <f t="shared" si="1"/>
        <v>0</v>
      </c>
      <c r="J34" s="28" t="str">
        <f t="shared" si="2"/>
        <v/>
      </c>
    </row>
    <row r="35" spans="1:10">
      <c r="A35" s="3"/>
      <c r="B35" s="13">
        <v>31</v>
      </c>
      <c r="C35" s="2"/>
      <c r="D35" s="12"/>
      <c r="E35" s="12"/>
      <c r="F35" s="12"/>
      <c r="G35" s="10">
        <f t="shared" si="0"/>
        <v>0</v>
      </c>
      <c r="H35" s="11"/>
      <c r="I35" s="10">
        <f t="shared" si="1"/>
        <v>0</v>
      </c>
      <c r="J35" s="28" t="str">
        <f t="shared" si="2"/>
        <v/>
      </c>
    </row>
    <row r="36" spans="1:10">
      <c r="A36" s="3"/>
      <c r="B36" s="13">
        <v>32</v>
      </c>
      <c r="C36" s="2"/>
      <c r="D36" s="12"/>
      <c r="E36" s="12"/>
      <c r="F36" s="12"/>
      <c r="G36" s="10">
        <f t="shared" si="0"/>
        <v>0</v>
      </c>
      <c r="H36" s="11"/>
      <c r="I36" s="10">
        <f t="shared" si="1"/>
        <v>0</v>
      </c>
      <c r="J36" s="28" t="str">
        <f t="shared" si="2"/>
        <v/>
      </c>
    </row>
    <row r="37" spans="1:10">
      <c r="A37" s="3"/>
      <c r="B37" s="13">
        <v>33</v>
      </c>
      <c r="C37" s="2"/>
      <c r="D37" s="12"/>
      <c r="E37" s="12"/>
      <c r="F37" s="12"/>
      <c r="G37" s="10">
        <f t="shared" si="0"/>
        <v>0</v>
      </c>
      <c r="H37" s="11"/>
      <c r="I37" s="10">
        <f t="shared" si="1"/>
        <v>0</v>
      </c>
      <c r="J37" s="28" t="str">
        <f t="shared" si="2"/>
        <v/>
      </c>
    </row>
    <row r="38" spans="1:10">
      <c r="A38" s="3"/>
      <c r="B38" s="13">
        <v>34</v>
      </c>
      <c r="C38" s="2"/>
      <c r="D38" s="12"/>
      <c r="E38" s="12"/>
      <c r="F38" s="12"/>
      <c r="G38" s="10">
        <f t="shared" si="0"/>
        <v>0</v>
      </c>
      <c r="H38" s="11"/>
      <c r="I38" s="10">
        <f t="shared" si="1"/>
        <v>0</v>
      </c>
      <c r="J38" s="28" t="str">
        <f t="shared" si="2"/>
        <v/>
      </c>
    </row>
    <row r="39" spans="1:10">
      <c r="A39" s="3"/>
      <c r="B39" s="13">
        <v>35</v>
      </c>
      <c r="C39" s="2"/>
      <c r="D39" s="12"/>
      <c r="E39" s="12"/>
      <c r="F39" s="12"/>
      <c r="G39" s="10">
        <f t="shared" si="0"/>
        <v>0</v>
      </c>
      <c r="H39" s="11"/>
      <c r="I39" s="10">
        <f t="shared" si="1"/>
        <v>0</v>
      </c>
      <c r="J39" s="28" t="str">
        <f t="shared" si="2"/>
        <v/>
      </c>
    </row>
    <row r="40" spans="1:10">
      <c r="A40" s="3"/>
      <c r="B40" s="13">
        <v>36</v>
      </c>
      <c r="C40" s="2"/>
      <c r="D40" s="12"/>
      <c r="E40" s="12"/>
      <c r="F40" s="12"/>
      <c r="G40" s="10">
        <f t="shared" si="0"/>
        <v>0</v>
      </c>
      <c r="H40" s="11"/>
      <c r="I40" s="10">
        <f t="shared" si="1"/>
        <v>0</v>
      </c>
      <c r="J40" s="28" t="str">
        <f t="shared" si="2"/>
        <v/>
      </c>
    </row>
    <row r="41" spans="1:10">
      <c r="A41" s="14"/>
      <c r="B41" s="14"/>
      <c r="C41" s="14"/>
      <c r="D41" s="16"/>
      <c r="E41" s="19">
        <f>COUNTA(E5:E40)</f>
        <v>0</v>
      </c>
      <c r="F41" s="19">
        <f>COUNTA(F5:F40)</f>
        <v>0</v>
      </c>
      <c r="G41" s="19"/>
      <c r="H41" s="19">
        <f>COUNTA(H5:H40)</f>
        <v>0</v>
      </c>
      <c r="I41" s="16"/>
      <c r="J41" s="14"/>
    </row>
    <row r="42" spans="1:10">
      <c r="A42" s="14"/>
      <c r="B42" s="14"/>
      <c r="C42" s="14"/>
      <c r="D42" s="14"/>
      <c r="E42" s="14"/>
      <c r="F42" s="14"/>
      <c r="G42" s="14"/>
      <c r="H42" s="14"/>
      <c r="I42" s="14"/>
      <c r="J42" s="14"/>
    </row>
    <row r="43" spans="1:10" ht="22.5">
      <c r="A43" s="14"/>
      <c r="B43" s="14"/>
      <c r="C43" s="20" t="s">
        <v>15</v>
      </c>
      <c r="D43" s="21" t="s">
        <v>11</v>
      </c>
      <c r="E43" s="21"/>
      <c r="F43" s="22"/>
      <c r="G43" s="22"/>
      <c r="H43" s="21" t="s">
        <v>12</v>
      </c>
      <c r="I43" s="17"/>
      <c r="J43" s="14"/>
    </row>
    <row r="44" spans="1:10" ht="21">
      <c r="A44" s="14"/>
      <c r="B44" s="14"/>
      <c r="C44" s="23">
        <f>MAX(I5:I40)</f>
        <v>0</v>
      </c>
      <c r="D44" s="6" t="s">
        <v>8</v>
      </c>
      <c r="E44" s="7">
        <f>COUNTIF(E5:E40,"&gt;=10")</f>
        <v>0</v>
      </c>
      <c r="F44" s="14"/>
      <c r="G44" s="14"/>
      <c r="H44" s="8" t="s">
        <v>8</v>
      </c>
      <c r="I44" s="7">
        <f>COUNTIF(H5:H40,"&gt;=10")</f>
        <v>0</v>
      </c>
      <c r="J44" s="14"/>
    </row>
    <row r="45" spans="1:10" ht="21">
      <c r="A45" s="14"/>
      <c r="B45" s="14"/>
      <c r="C45" s="14"/>
      <c r="D45" s="7" t="s">
        <v>9</v>
      </c>
      <c r="E45" s="24" t="e">
        <f>E44*100/E41</f>
        <v>#DIV/0!</v>
      </c>
      <c r="F45" s="14"/>
      <c r="G45" s="14"/>
      <c r="H45" s="7" t="s">
        <v>9</v>
      </c>
      <c r="I45" s="9" t="e">
        <f>I44*100/H41</f>
        <v>#DIV/0!</v>
      </c>
      <c r="J45" s="14"/>
    </row>
    <row r="46" spans="1:10">
      <c r="A46" s="14"/>
      <c r="B46" s="14"/>
      <c r="C46" s="14"/>
      <c r="D46" s="14"/>
      <c r="E46" s="14"/>
      <c r="F46" s="14"/>
      <c r="G46" s="14"/>
      <c r="H46" s="14"/>
      <c r="I46" s="14"/>
      <c r="J46" s="14"/>
    </row>
    <row r="47" spans="1:10" ht="22.5">
      <c r="A47" s="14"/>
      <c r="B47" s="14"/>
      <c r="C47" s="20" t="s">
        <v>14</v>
      </c>
      <c r="D47" s="21" t="s">
        <v>10</v>
      </c>
      <c r="E47" s="21"/>
      <c r="F47" s="22"/>
      <c r="G47" s="22"/>
      <c r="H47" s="21" t="s">
        <v>13</v>
      </c>
      <c r="I47" s="17"/>
      <c r="J47" s="14"/>
    </row>
    <row r="48" spans="1:10" ht="21">
      <c r="A48" s="14"/>
      <c r="B48" s="14"/>
      <c r="C48" s="18">
        <f t="array" ref="C48">MIN(IF(I5:I40&gt;0,I5:I40))</f>
        <v>0</v>
      </c>
      <c r="D48" s="6" t="s">
        <v>8</v>
      </c>
      <c r="E48" s="7">
        <f>COUNTIF(F5:F40,"&gt;=10")</f>
        <v>0</v>
      </c>
      <c r="F48" s="14"/>
      <c r="G48" s="14"/>
      <c r="H48" s="8" t="s">
        <v>8</v>
      </c>
      <c r="I48" s="7">
        <f>COUNTIF(I5:I40,"&gt;=10")</f>
        <v>0</v>
      </c>
      <c r="J48" s="14"/>
    </row>
    <row r="49" spans="1:10" ht="21">
      <c r="A49" s="14"/>
      <c r="B49" s="14"/>
      <c r="C49" s="14"/>
      <c r="D49" s="7" t="s">
        <v>9</v>
      </c>
      <c r="E49" s="7" t="e">
        <f>E48*100/F41</f>
        <v>#DIV/0!</v>
      </c>
      <c r="F49" s="14"/>
      <c r="G49" s="14"/>
      <c r="H49" s="7" t="s">
        <v>9</v>
      </c>
      <c r="I49" s="24" t="e">
        <f>I48*100/H41</f>
        <v>#DIV/0!</v>
      </c>
      <c r="J49" s="14"/>
    </row>
    <row r="50" spans="1:10">
      <c r="A50" s="14"/>
      <c r="B50" s="14"/>
      <c r="C50" s="14"/>
      <c r="D50" s="14"/>
      <c r="E50" s="14"/>
      <c r="F50" s="14"/>
      <c r="G50" s="14"/>
      <c r="H50" s="14"/>
      <c r="I50" s="14"/>
      <c r="J50" s="14"/>
    </row>
    <row r="51" spans="1:10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0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10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0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0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0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0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0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10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0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>
      <c r="A100" s="3"/>
      <c r="B100" s="3"/>
      <c r="C100" s="3"/>
      <c r="D100" s="3"/>
      <c r="E100" s="3"/>
      <c r="F100" s="3"/>
      <c r="G100" s="3"/>
      <c r="H100" s="3"/>
      <c r="I100" s="3"/>
      <c r="J100" s="3"/>
    </row>
    <row r="101" spans="1:10">
      <c r="A101" s="3"/>
      <c r="B101" s="3"/>
      <c r="C101" s="3"/>
      <c r="D101" s="3"/>
      <c r="E101" s="3"/>
      <c r="F101" s="3"/>
      <c r="G101" s="3"/>
      <c r="H101" s="3"/>
      <c r="I101" s="3"/>
      <c r="J101" s="3"/>
    </row>
    <row r="102" spans="1:10">
      <c r="A102" s="3"/>
      <c r="B102" s="3"/>
      <c r="C102" s="3"/>
      <c r="D102" s="3"/>
      <c r="E102" s="3"/>
      <c r="F102" s="3"/>
      <c r="G102" s="3"/>
      <c r="H102" s="3"/>
      <c r="I102" s="3"/>
      <c r="J102" s="3"/>
    </row>
    <row r="103" spans="1:10">
      <c r="A103" s="3"/>
      <c r="B103" s="3"/>
      <c r="C103" s="3"/>
      <c r="D103" s="3"/>
      <c r="E103" s="3"/>
      <c r="F103" s="3"/>
      <c r="G103" s="3"/>
      <c r="H103" s="3"/>
      <c r="I103" s="3"/>
      <c r="J103" s="3"/>
    </row>
  </sheetData>
  <sheetProtection sheet="1" objects="1" scenarios="1" selectLockedCells="1" sort="0"/>
  <mergeCells count="1">
    <mergeCell ref="E2:G2"/>
  </mergeCells>
  <conditionalFormatting sqref="I5:I40">
    <cfRule type="cellIs" dxfId="59" priority="10" operator="lessThan">
      <formula>10</formula>
    </cfRule>
  </conditionalFormatting>
  <conditionalFormatting sqref="I5:I40">
    <cfRule type="cellIs" dxfId="58" priority="9" operator="equal">
      <formula>0</formula>
    </cfRule>
  </conditionalFormatting>
  <conditionalFormatting sqref="H5:H40">
    <cfRule type="cellIs" dxfId="57" priority="8" operator="lessThan">
      <formula>10</formula>
    </cfRule>
  </conditionalFormatting>
  <conditionalFormatting sqref="H5:H40">
    <cfRule type="containsBlanks" dxfId="56" priority="7">
      <formula>LEN(TRIM(H5))=0</formula>
    </cfRule>
  </conditionalFormatting>
  <conditionalFormatting sqref="E45">
    <cfRule type="cellIs" dxfId="55" priority="6" operator="lessThan">
      <formula>50</formula>
    </cfRule>
  </conditionalFormatting>
  <conditionalFormatting sqref="I45">
    <cfRule type="cellIs" dxfId="54" priority="5" operator="lessThan">
      <formula>50</formula>
    </cfRule>
  </conditionalFormatting>
  <conditionalFormatting sqref="E49">
    <cfRule type="cellIs" dxfId="53" priority="4" operator="lessThan">
      <formula>50</formula>
    </cfRule>
  </conditionalFormatting>
  <conditionalFormatting sqref="I49">
    <cfRule type="cellIs" dxfId="52" priority="2" operator="lessThan">
      <formula>50</formula>
    </cfRule>
    <cfRule type="cellIs" dxfId="51" priority="3" operator="lessThan">
      <formula>50</formula>
    </cfRule>
  </conditionalFormatting>
  <conditionalFormatting sqref="D5:F40">
    <cfRule type="cellIs" dxfId="50" priority="1" operator="lessThan">
      <formula>10</formula>
    </cfRule>
  </conditionalFormatting>
  <pageMargins left="0.23622047244094491" right="0.23622047244094491" top="0.74803149606299213" bottom="0.19685039370078741" header="0.31496062992125984" footer="0.31496062992125984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03"/>
  <sheetViews>
    <sheetView showGridLines="0" rightToLeft="1" zoomScale="130" zoomScaleNormal="130" zoomScaleSheetLayoutView="130" workbookViewId="0">
      <selection activeCell="H13" sqref="H13"/>
    </sheetView>
  </sheetViews>
  <sheetFormatPr baseColWidth="10" defaultColWidth="9.140625" defaultRowHeight="15"/>
  <cols>
    <col min="1" max="1" width="1.42578125" customWidth="1"/>
    <col min="2" max="2" width="4" customWidth="1"/>
    <col min="3" max="3" width="21.5703125" customWidth="1"/>
    <col min="4" max="4" width="8" customWidth="1"/>
    <col min="5" max="6" width="7.42578125" customWidth="1"/>
    <col min="7" max="7" width="7.5703125" customWidth="1"/>
    <col min="8" max="8" width="7.28515625" customWidth="1"/>
    <col min="9" max="9" width="9.5703125" customWidth="1"/>
    <col min="10" max="10" width="22.28515625" customWidth="1"/>
    <col min="11" max="11" width="7.7109375" customWidth="1"/>
    <col min="14" max="14" width="9.140625" customWidth="1"/>
  </cols>
  <sheetData>
    <row r="1" spans="1:10">
      <c r="A1" s="3"/>
      <c r="B1" s="14"/>
      <c r="C1" s="14"/>
      <c r="D1" s="14"/>
      <c r="E1" s="14"/>
      <c r="F1" s="14"/>
      <c r="G1" s="14"/>
      <c r="H1" s="14"/>
      <c r="I1" s="14"/>
      <c r="J1" s="14"/>
    </row>
    <row r="2" spans="1:10">
      <c r="A2" s="3"/>
      <c r="B2" s="14" t="s">
        <v>0</v>
      </c>
      <c r="C2" s="1"/>
      <c r="D2" s="14"/>
      <c r="E2" s="30" t="s">
        <v>2</v>
      </c>
      <c r="F2" s="30"/>
      <c r="G2" s="30"/>
      <c r="H2" s="14"/>
      <c r="I2" s="15" t="s">
        <v>1</v>
      </c>
      <c r="J2" s="1"/>
    </row>
    <row r="3" spans="1:10">
      <c r="A3" s="3"/>
      <c r="B3" s="14"/>
      <c r="C3" s="14"/>
      <c r="D3" s="14"/>
      <c r="E3" s="14"/>
      <c r="F3" s="14"/>
      <c r="G3" s="14"/>
      <c r="H3" s="14"/>
      <c r="I3" s="14"/>
      <c r="J3" s="14"/>
    </row>
    <row r="4" spans="1:10" ht="23.25">
      <c r="A4" s="3"/>
      <c r="B4" s="4" t="s">
        <v>17</v>
      </c>
      <c r="C4" s="5" t="s">
        <v>3</v>
      </c>
      <c r="D4" s="5" t="s">
        <v>16</v>
      </c>
      <c r="E4" s="5" t="s">
        <v>5</v>
      </c>
      <c r="F4" s="4" t="s">
        <v>7</v>
      </c>
      <c r="G4" s="25" t="s">
        <v>19</v>
      </c>
      <c r="H4" s="5" t="s">
        <v>4</v>
      </c>
      <c r="I4" s="4" t="s">
        <v>6</v>
      </c>
      <c r="J4" s="4" t="s">
        <v>18</v>
      </c>
    </row>
    <row r="5" spans="1:10">
      <c r="A5" s="3"/>
      <c r="B5" s="13">
        <v>1</v>
      </c>
      <c r="C5" s="2"/>
      <c r="D5" s="12"/>
      <c r="E5" s="12"/>
      <c r="F5" s="12"/>
      <c r="G5" s="10">
        <f t="shared" ref="G5:G40" si="0">(F5+E5+D5)/3</f>
        <v>0</v>
      </c>
      <c r="H5" s="11"/>
      <c r="I5" s="10">
        <f>((H5*3)+(G5*2))/5</f>
        <v>0</v>
      </c>
      <c r="J5" s="28" t="str">
        <f>IF(I5&gt;=16,"عمل ممتاز واصل بهذا النشاط",IF(I5&gt;=14,"تشكر على مجهوداتك ,واصل ",IF(I5&gt;=12,"عمل جيد يمكنك تحقيق الأفضل ",IF(I5&gt;=10,"عمل حسن كثف مجهودك ",IF(I5&gt;=9,"لا تيأس وحسِن مستواك  ",IF(I5&gt;=0.1," راجع دروسك واهتم أكثر",IF(I5=0,"      ","bad")))))))</f>
        <v/>
      </c>
    </row>
    <row r="6" spans="1:10">
      <c r="A6" s="3"/>
      <c r="B6" s="13">
        <v>2</v>
      </c>
      <c r="C6" s="2"/>
      <c r="D6" s="12"/>
      <c r="E6" s="12"/>
      <c r="F6" s="12"/>
      <c r="G6" s="10">
        <f t="shared" si="0"/>
        <v>0</v>
      </c>
      <c r="H6" s="11"/>
      <c r="I6" s="10">
        <f t="shared" ref="I6:I40" si="1">((H6*3)+(G6*2))/5</f>
        <v>0</v>
      </c>
      <c r="J6" s="28" t="str">
        <f t="shared" ref="J6:J40" si="2">IF(I6&gt;=16,"عمل ممتاز واصل بهذا النشاط",IF(I6&gt;=14,"تشكر على مجهوداتك ,واصل ",IF(I6&gt;=12,"عمل جيد يمكنك تحقيق الأفضل ",IF(I6&gt;=10,"عمل حسن كثف مجهودك ",IF(I6&gt;=9,"لا تيأس وحسِن مستواك  ",IF(I6&gt;=0.1," راجع دروسك واهتم أكثر",IF(I6=0,"      ","bad")))))))</f>
        <v/>
      </c>
    </row>
    <row r="7" spans="1:10">
      <c r="A7" s="3"/>
      <c r="B7" s="13">
        <v>3</v>
      </c>
      <c r="C7" s="2"/>
      <c r="D7" s="12"/>
      <c r="E7" s="12"/>
      <c r="F7" s="12"/>
      <c r="G7" s="10">
        <f t="shared" si="0"/>
        <v>0</v>
      </c>
      <c r="H7" s="11"/>
      <c r="I7" s="10">
        <f t="shared" si="1"/>
        <v>0</v>
      </c>
      <c r="J7" s="28" t="str">
        <f t="shared" si="2"/>
        <v/>
      </c>
    </row>
    <row r="8" spans="1:10">
      <c r="A8" s="3"/>
      <c r="B8" s="13">
        <v>4</v>
      </c>
      <c r="C8" s="2"/>
      <c r="D8" s="12"/>
      <c r="E8" s="12"/>
      <c r="F8" s="12"/>
      <c r="G8" s="10">
        <f t="shared" si="0"/>
        <v>0</v>
      </c>
      <c r="H8" s="11"/>
      <c r="I8" s="10">
        <f t="shared" si="1"/>
        <v>0</v>
      </c>
      <c r="J8" s="28" t="str">
        <f t="shared" si="2"/>
        <v/>
      </c>
    </row>
    <row r="9" spans="1:10">
      <c r="A9" s="3"/>
      <c r="B9" s="13">
        <v>5</v>
      </c>
      <c r="C9" s="2"/>
      <c r="D9" s="12"/>
      <c r="E9" s="12"/>
      <c r="F9" s="12"/>
      <c r="G9" s="10">
        <f t="shared" si="0"/>
        <v>0</v>
      </c>
      <c r="H9" s="11"/>
      <c r="I9" s="10">
        <f t="shared" si="1"/>
        <v>0</v>
      </c>
      <c r="J9" s="28" t="str">
        <f t="shared" si="2"/>
        <v/>
      </c>
    </row>
    <row r="10" spans="1:10">
      <c r="A10" s="3"/>
      <c r="B10" s="13">
        <v>6</v>
      </c>
      <c r="C10" s="2"/>
      <c r="D10" s="12"/>
      <c r="E10" s="12"/>
      <c r="F10" s="12"/>
      <c r="G10" s="10">
        <f t="shared" si="0"/>
        <v>0</v>
      </c>
      <c r="H10" s="11"/>
      <c r="I10" s="10">
        <f t="shared" si="1"/>
        <v>0</v>
      </c>
      <c r="J10" s="28" t="str">
        <f t="shared" si="2"/>
        <v/>
      </c>
    </row>
    <row r="11" spans="1:10">
      <c r="A11" s="3"/>
      <c r="B11" s="13">
        <v>7</v>
      </c>
      <c r="C11" s="2"/>
      <c r="D11" s="12"/>
      <c r="E11" s="12"/>
      <c r="F11" s="12"/>
      <c r="G11" s="10">
        <f t="shared" si="0"/>
        <v>0</v>
      </c>
      <c r="H11" s="11"/>
      <c r="I11" s="10">
        <f t="shared" si="1"/>
        <v>0</v>
      </c>
      <c r="J11" s="28" t="str">
        <f t="shared" si="2"/>
        <v/>
      </c>
    </row>
    <row r="12" spans="1:10">
      <c r="A12" s="3"/>
      <c r="B12" s="13">
        <v>8</v>
      </c>
      <c r="C12" s="2"/>
      <c r="D12" s="12"/>
      <c r="E12" s="12"/>
      <c r="F12" s="12"/>
      <c r="G12" s="10">
        <f t="shared" si="0"/>
        <v>0</v>
      </c>
      <c r="H12" s="11"/>
      <c r="I12" s="10">
        <f t="shared" si="1"/>
        <v>0</v>
      </c>
      <c r="J12" s="28" t="str">
        <f t="shared" si="2"/>
        <v/>
      </c>
    </row>
    <row r="13" spans="1:10">
      <c r="A13" s="3"/>
      <c r="B13" s="13">
        <v>9</v>
      </c>
      <c r="C13" s="2"/>
      <c r="D13" s="12"/>
      <c r="E13" s="12"/>
      <c r="F13" s="12"/>
      <c r="G13" s="10">
        <f t="shared" si="0"/>
        <v>0</v>
      </c>
      <c r="H13" s="11"/>
      <c r="I13" s="10">
        <f t="shared" si="1"/>
        <v>0</v>
      </c>
      <c r="J13" s="28" t="str">
        <f t="shared" si="2"/>
        <v/>
      </c>
    </row>
    <row r="14" spans="1:10">
      <c r="A14" s="3"/>
      <c r="B14" s="13">
        <v>10</v>
      </c>
      <c r="C14" s="2"/>
      <c r="D14" s="12"/>
      <c r="E14" s="12"/>
      <c r="F14" s="12"/>
      <c r="G14" s="10">
        <f t="shared" si="0"/>
        <v>0</v>
      </c>
      <c r="H14" s="11"/>
      <c r="I14" s="10">
        <f t="shared" si="1"/>
        <v>0</v>
      </c>
      <c r="J14" s="28" t="str">
        <f t="shared" si="2"/>
        <v/>
      </c>
    </row>
    <row r="15" spans="1:10">
      <c r="A15" s="3"/>
      <c r="B15" s="13">
        <v>11</v>
      </c>
      <c r="C15" s="2"/>
      <c r="D15" s="12"/>
      <c r="E15" s="12"/>
      <c r="F15" s="12"/>
      <c r="G15" s="10">
        <f t="shared" si="0"/>
        <v>0</v>
      </c>
      <c r="H15" s="11"/>
      <c r="I15" s="10">
        <f t="shared" si="1"/>
        <v>0</v>
      </c>
      <c r="J15" s="28" t="str">
        <f t="shared" si="2"/>
        <v/>
      </c>
    </row>
    <row r="16" spans="1:10">
      <c r="A16" s="3"/>
      <c r="B16" s="13">
        <v>12</v>
      </c>
      <c r="C16" s="2"/>
      <c r="D16" s="12"/>
      <c r="E16" s="12"/>
      <c r="F16" s="12"/>
      <c r="G16" s="10">
        <f t="shared" si="0"/>
        <v>0</v>
      </c>
      <c r="H16" s="11"/>
      <c r="I16" s="10">
        <f t="shared" si="1"/>
        <v>0</v>
      </c>
      <c r="J16" s="28" t="str">
        <f t="shared" si="2"/>
        <v/>
      </c>
    </row>
    <row r="17" spans="1:10">
      <c r="A17" s="3"/>
      <c r="B17" s="13">
        <v>13</v>
      </c>
      <c r="C17" s="2"/>
      <c r="D17" s="12"/>
      <c r="E17" s="12"/>
      <c r="F17" s="12"/>
      <c r="G17" s="10">
        <f t="shared" si="0"/>
        <v>0</v>
      </c>
      <c r="H17" s="11"/>
      <c r="I17" s="10">
        <f t="shared" si="1"/>
        <v>0</v>
      </c>
      <c r="J17" s="28" t="str">
        <f t="shared" si="2"/>
        <v/>
      </c>
    </row>
    <row r="18" spans="1:10">
      <c r="A18" s="3"/>
      <c r="B18" s="13">
        <v>14</v>
      </c>
      <c r="C18" s="2"/>
      <c r="D18" s="12"/>
      <c r="E18" s="12"/>
      <c r="F18" s="12"/>
      <c r="G18" s="10">
        <f t="shared" si="0"/>
        <v>0</v>
      </c>
      <c r="H18" s="11"/>
      <c r="I18" s="10">
        <f t="shared" si="1"/>
        <v>0</v>
      </c>
      <c r="J18" s="28" t="str">
        <f t="shared" si="2"/>
        <v/>
      </c>
    </row>
    <row r="19" spans="1:10">
      <c r="A19" s="3"/>
      <c r="B19" s="13">
        <v>15</v>
      </c>
      <c r="C19" s="2"/>
      <c r="D19" s="12"/>
      <c r="E19" s="12"/>
      <c r="F19" s="12"/>
      <c r="G19" s="10">
        <f t="shared" si="0"/>
        <v>0</v>
      </c>
      <c r="H19" s="11"/>
      <c r="I19" s="10">
        <f t="shared" si="1"/>
        <v>0</v>
      </c>
      <c r="J19" s="28" t="str">
        <f t="shared" si="2"/>
        <v/>
      </c>
    </row>
    <row r="20" spans="1:10">
      <c r="A20" s="3"/>
      <c r="B20" s="13">
        <v>16</v>
      </c>
      <c r="C20" s="2"/>
      <c r="D20" s="12"/>
      <c r="E20" s="12"/>
      <c r="F20" s="12"/>
      <c r="G20" s="10">
        <f t="shared" si="0"/>
        <v>0</v>
      </c>
      <c r="H20" s="11"/>
      <c r="I20" s="10">
        <f t="shared" si="1"/>
        <v>0</v>
      </c>
      <c r="J20" s="28" t="str">
        <f t="shared" si="2"/>
        <v/>
      </c>
    </row>
    <row r="21" spans="1:10">
      <c r="A21" s="3"/>
      <c r="B21" s="13">
        <v>17</v>
      </c>
      <c r="C21" s="2"/>
      <c r="D21" s="12"/>
      <c r="E21" s="12"/>
      <c r="F21" s="12"/>
      <c r="G21" s="10">
        <f t="shared" si="0"/>
        <v>0</v>
      </c>
      <c r="H21" s="11"/>
      <c r="I21" s="10">
        <f t="shared" si="1"/>
        <v>0</v>
      </c>
      <c r="J21" s="28" t="str">
        <f t="shared" si="2"/>
        <v/>
      </c>
    </row>
    <row r="22" spans="1:10">
      <c r="A22" s="3"/>
      <c r="B22" s="13">
        <v>18</v>
      </c>
      <c r="C22" s="2"/>
      <c r="D22" s="12"/>
      <c r="E22" s="12"/>
      <c r="F22" s="12"/>
      <c r="G22" s="10">
        <f t="shared" si="0"/>
        <v>0</v>
      </c>
      <c r="H22" s="11"/>
      <c r="I22" s="10">
        <f t="shared" si="1"/>
        <v>0</v>
      </c>
      <c r="J22" s="28" t="str">
        <f t="shared" si="2"/>
        <v/>
      </c>
    </row>
    <row r="23" spans="1:10">
      <c r="A23" s="3"/>
      <c r="B23" s="13">
        <v>19</v>
      </c>
      <c r="C23" s="2"/>
      <c r="D23" s="12"/>
      <c r="E23" s="12"/>
      <c r="F23" s="12"/>
      <c r="G23" s="10">
        <f t="shared" si="0"/>
        <v>0</v>
      </c>
      <c r="H23" s="11"/>
      <c r="I23" s="10">
        <f t="shared" si="1"/>
        <v>0</v>
      </c>
      <c r="J23" s="28" t="str">
        <f t="shared" si="2"/>
        <v/>
      </c>
    </row>
    <row r="24" spans="1:10">
      <c r="A24" s="3"/>
      <c r="B24" s="13">
        <v>20</v>
      </c>
      <c r="C24" s="2"/>
      <c r="D24" s="12"/>
      <c r="E24" s="12"/>
      <c r="F24" s="12"/>
      <c r="G24" s="10">
        <f t="shared" si="0"/>
        <v>0</v>
      </c>
      <c r="H24" s="11"/>
      <c r="I24" s="10">
        <f t="shared" si="1"/>
        <v>0</v>
      </c>
      <c r="J24" s="28" t="str">
        <f t="shared" si="2"/>
        <v/>
      </c>
    </row>
    <row r="25" spans="1:10">
      <c r="A25" s="3"/>
      <c r="B25" s="13">
        <v>21</v>
      </c>
      <c r="C25" s="2"/>
      <c r="D25" s="12"/>
      <c r="E25" s="12"/>
      <c r="F25" s="12"/>
      <c r="G25" s="10">
        <f t="shared" si="0"/>
        <v>0</v>
      </c>
      <c r="H25" s="11"/>
      <c r="I25" s="10">
        <f t="shared" si="1"/>
        <v>0</v>
      </c>
      <c r="J25" s="28" t="str">
        <f t="shared" si="2"/>
        <v/>
      </c>
    </row>
    <row r="26" spans="1:10">
      <c r="A26" s="3"/>
      <c r="B26" s="13">
        <v>22</v>
      </c>
      <c r="C26" s="2"/>
      <c r="D26" s="12"/>
      <c r="E26" s="12"/>
      <c r="F26" s="12"/>
      <c r="G26" s="10">
        <f t="shared" si="0"/>
        <v>0</v>
      </c>
      <c r="H26" s="11"/>
      <c r="I26" s="10">
        <f t="shared" si="1"/>
        <v>0</v>
      </c>
      <c r="J26" s="28" t="str">
        <f t="shared" si="2"/>
        <v/>
      </c>
    </row>
    <row r="27" spans="1:10">
      <c r="A27" s="3"/>
      <c r="B27" s="13">
        <v>23</v>
      </c>
      <c r="C27" s="2"/>
      <c r="D27" s="12"/>
      <c r="E27" s="12"/>
      <c r="F27" s="12"/>
      <c r="G27" s="10">
        <f t="shared" si="0"/>
        <v>0</v>
      </c>
      <c r="H27" s="11"/>
      <c r="I27" s="10">
        <f t="shared" si="1"/>
        <v>0</v>
      </c>
      <c r="J27" s="28" t="str">
        <f t="shared" si="2"/>
        <v/>
      </c>
    </row>
    <row r="28" spans="1:10">
      <c r="A28" s="3"/>
      <c r="B28" s="13">
        <v>24</v>
      </c>
      <c r="C28" s="2"/>
      <c r="D28" s="12"/>
      <c r="E28" s="12"/>
      <c r="F28" s="12"/>
      <c r="G28" s="10">
        <f t="shared" si="0"/>
        <v>0</v>
      </c>
      <c r="H28" s="11"/>
      <c r="I28" s="10">
        <f t="shared" si="1"/>
        <v>0</v>
      </c>
      <c r="J28" s="28" t="str">
        <f t="shared" si="2"/>
        <v/>
      </c>
    </row>
    <row r="29" spans="1:10">
      <c r="A29" s="3"/>
      <c r="B29" s="13">
        <v>25</v>
      </c>
      <c r="C29" s="2"/>
      <c r="D29" s="12"/>
      <c r="E29" s="12"/>
      <c r="F29" s="12"/>
      <c r="G29" s="10">
        <f t="shared" si="0"/>
        <v>0</v>
      </c>
      <c r="H29" s="11"/>
      <c r="I29" s="10">
        <f t="shared" si="1"/>
        <v>0</v>
      </c>
      <c r="J29" s="28" t="str">
        <f t="shared" si="2"/>
        <v/>
      </c>
    </row>
    <row r="30" spans="1:10">
      <c r="A30" s="3"/>
      <c r="B30" s="13">
        <v>26</v>
      </c>
      <c r="C30" s="2"/>
      <c r="D30" s="12"/>
      <c r="E30" s="12"/>
      <c r="F30" s="12"/>
      <c r="G30" s="10">
        <f t="shared" si="0"/>
        <v>0</v>
      </c>
      <c r="H30" s="11"/>
      <c r="I30" s="10">
        <f t="shared" si="1"/>
        <v>0</v>
      </c>
      <c r="J30" s="28" t="str">
        <f t="shared" si="2"/>
        <v/>
      </c>
    </row>
    <row r="31" spans="1:10">
      <c r="A31" s="3"/>
      <c r="B31" s="13">
        <v>27</v>
      </c>
      <c r="C31" s="2"/>
      <c r="D31" s="12"/>
      <c r="E31" s="12"/>
      <c r="F31" s="12"/>
      <c r="G31" s="10">
        <f t="shared" si="0"/>
        <v>0</v>
      </c>
      <c r="H31" s="11"/>
      <c r="I31" s="10">
        <f t="shared" si="1"/>
        <v>0</v>
      </c>
      <c r="J31" s="28" t="str">
        <f t="shared" si="2"/>
        <v/>
      </c>
    </row>
    <row r="32" spans="1:10">
      <c r="A32" s="3"/>
      <c r="B32" s="13">
        <v>28</v>
      </c>
      <c r="C32" s="2"/>
      <c r="D32" s="12"/>
      <c r="E32" s="12"/>
      <c r="F32" s="12"/>
      <c r="G32" s="10">
        <f t="shared" si="0"/>
        <v>0</v>
      </c>
      <c r="H32" s="11"/>
      <c r="I32" s="10">
        <f t="shared" si="1"/>
        <v>0</v>
      </c>
      <c r="J32" s="28" t="str">
        <f t="shared" si="2"/>
        <v/>
      </c>
    </row>
    <row r="33" spans="1:10">
      <c r="A33" s="3"/>
      <c r="B33" s="13">
        <v>29</v>
      </c>
      <c r="C33" s="2"/>
      <c r="D33" s="12"/>
      <c r="E33" s="12"/>
      <c r="F33" s="12"/>
      <c r="G33" s="10">
        <f t="shared" si="0"/>
        <v>0</v>
      </c>
      <c r="H33" s="11"/>
      <c r="I33" s="10">
        <f t="shared" si="1"/>
        <v>0</v>
      </c>
      <c r="J33" s="28" t="str">
        <f t="shared" si="2"/>
        <v/>
      </c>
    </row>
    <row r="34" spans="1:10">
      <c r="A34" s="3"/>
      <c r="B34" s="13">
        <v>30</v>
      </c>
      <c r="C34" s="2"/>
      <c r="D34" s="12"/>
      <c r="E34" s="12"/>
      <c r="F34" s="12"/>
      <c r="G34" s="10">
        <f t="shared" si="0"/>
        <v>0</v>
      </c>
      <c r="H34" s="11"/>
      <c r="I34" s="10">
        <f t="shared" si="1"/>
        <v>0</v>
      </c>
      <c r="J34" s="28" t="str">
        <f t="shared" si="2"/>
        <v/>
      </c>
    </row>
    <row r="35" spans="1:10">
      <c r="A35" s="3"/>
      <c r="B35" s="13">
        <v>31</v>
      </c>
      <c r="C35" s="2"/>
      <c r="D35" s="12"/>
      <c r="E35" s="12"/>
      <c r="F35" s="12"/>
      <c r="G35" s="10">
        <f t="shared" si="0"/>
        <v>0</v>
      </c>
      <c r="H35" s="11"/>
      <c r="I35" s="10">
        <f t="shared" si="1"/>
        <v>0</v>
      </c>
      <c r="J35" s="28" t="str">
        <f t="shared" si="2"/>
        <v/>
      </c>
    </row>
    <row r="36" spans="1:10">
      <c r="A36" s="3"/>
      <c r="B36" s="13">
        <v>32</v>
      </c>
      <c r="C36" s="2"/>
      <c r="D36" s="12"/>
      <c r="E36" s="12"/>
      <c r="F36" s="12"/>
      <c r="G36" s="10">
        <f t="shared" si="0"/>
        <v>0</v>
      </c>
      <c r="H36" s="11"/>
      <c r="I36" s="10">
        <f t="shared" si="1"/>
        <v>0</v>
      </c>
      <c r="J36" s="28" t="str">
        <f t="shared" si="2"/>
        <v/>
      </c>
    </row>
    <row r="37" spans="1:10">
      <c r="A37" s="3"/>
      <c r="B37" s="13">
        <v>33</v>
      </c>
      <c r="C37" s="2"/>
      <c r="D37" s="12"/>
      <c r="E37" s="12"/>
      <c r="F37" s="12"/>
      <c r="G37" s="10">
        <f t="shared" si="0"/>
        <v>0</v>
      </c>
      <c r="H37" s="11"/>
      <c r="I37" s="10">
        <f t="shared" si="1"/>
        <v>0</v>
      </c>
      <c r="J37" s="28" t="str">
        <f t="shared" si="2"/>
        <v/>
      </c>
    </row>
    <row r="38" spans="1:10">
      <c r="A38" s="3"/>
      <c r="B38" s="13">
        <v>34</v>
      </c>
      <c r="C38" s="2"/>
      <c r="D38" s="12"/>
      <c r="E38" s="12"/>
      <c r="F38" s="12"/>
      <c r="G38" s="10">
        <f t="shared" si="0"/>
        <v>0</v>
      </c>
      <c r="H38" s="11"/>
      <c r="I38" s="10">
        <f t="shared" si="1"/>
        <v>0</v>
      </c>
      <c r="J38" s="28" t="str">
        <f t="shared" si="2"/>
        <v/>
      </c>
    </row>
    <row r="39" spans="1:10">
      <c r="A39" s="3"/>
      <c r="B39" s="13">
        <v>35</v>
      </c>
      <c r="C39" s="2"/>
      <c r="D39" s="12"/>
      <c r="E39" s="12"/>
      <c r="F39" s="12"/>
      <c r="G39" s="10">
        <f t="shared" si="0"/>
        <v>0</v>
      </c>
      <c r="H39" s="11"/>
      <c r="I39" s="10">
        <f t="shared" si="1"/>
        <v>0</v>
      </c>
      <c r="J39" s="28" t="str">
        <f t="shared" si="2"/>
        <v/>
      </c>
    </row>
    <row r="40" spans="1:10">
      <c r="A40" s="3"/>
      <c r="B40" s="13">
        <v>36</v>
      </c>
      <c r="C40" s="2"/>
      <c r="D40" s="12"/>
      <c r="E40" s="12"/>
      <c r="F40" s="12"/>
      <c r="G40" s="10">
        <f t="shared" si="0"/>
        <v>0</v>
      </c>
      <c r="H40" s="11"/>
      <c r="I40" s="10">
        <f t="shared" si="1"/>
        <v>0</v>
      </c>
      <c r="J40" s="28" t="str">
        <f t="shared" si="2"/>
        <v/>
      </c>
    </row>
    <row r="41" spans="1:10">
      <c r="A41" s="14"/>
      <c r="B41" s="14"/>
      <c r="C41" s="14"/>
      <c r="D41" s="16"/>
      <c r="E41" s="19">
        <f>COUNTA(E5:E40)</f>
        <v>0</v>
      </c>
      <c r="F41" s="19">
        <f>COUNTA(F5:F40)</f>
        <v>0</v>
      </c>
      <c r="G41" s="19"/>
      <c r="H41" s="19">
        <f>COUNTA(H5:H40)</f>
        <v>0</v>
      </c>
      <c r="I41" s="16"/>
      <c r="J41" s="14"/>
    </row>
    <row r="42" spans="1:10">
      <c r="A42" s="14"/>
      <c r="B42" s="14"/>
      <c r="C42" s="14"/>
      <c r="D42" s="14"/>
      <c r="E42" s="14"/>
      <c r="F42" s="14"/>
      <c r="G42" s="14"/>
      <c r="H42" s="14"/>
      <c r="I42" s="14"/>
      <c r="J42" s="14"/>
    </row>
    <row r="43" spans="1:10" ht="22.5">
      <c r="A43" s="14"/>
      <c r="B43" s="14"/>
      <c r="C43" s="20" t="s">
        <v>15</v>
      </c>
      <c r="D43" s="21" t="s">
        <v>11</v>
      </c>
      <c r="E43" s="21"/>
      <c r="F43" s="22"/>
      <c r="G43" s="22"/>
      <c r="H43" s="21" t="s">
        <v>12</v>
      </c>
      <c r="I43" s="17"/>
      <c r="J43" s="14"/>
    </row>
    <row r="44" spans="1:10" ht="21">
      <c r="A44" s="14"/>
      <c r="B44" s="14"/>
      <c r="C44" s="23">
        <f>MAX(I5:I40)</f>
        <v>0</v>
      </c>
      <c r="D44" s="6" t="s">
        <v>8</v>
      </c>
      <c r="E44" s="7">
        <f>COUNTIF(E5:E40,"&gt;=10")</f>
        <v>0</v>
      </c>
      <c r="F44" s="14"/>
      <c r="G44" s="14"/>
      <c r="H44" s="8" t="s">
        <v>8</v>
      </c>
      <c r="I44" s="7">
        <f>COUNTIF(H5:H40,"&gt;=10")</f>
        <v>0</v>
      </c>
      <c r="J44" s="14"/>
    </row>
    <row r="45" spans="1:10" ht="21">
      <c r="A45" s="14"/>
      <c r="B45" s="14"/>
      <c r="C45" s="14"/>
      <c r="D45" s="7" t="s">
        <v>9</v>
      </c>
      <c r="E45" s="24" t="e">
        <f>E44*100/E41</f>
        <v>#DIV/0!</v>
      </c>
      <c r="F45" s="14"/>
      <c r="G45" s="14"/>
      <c r="H45" s="7" t="s">
        <v>9</v>
      </c>
      <c r="I45" s="9" t="e">
        <f>I44*100/H41</f>
        <v>#DIV/0!</v>
      </c>
      <c r="J45" s="14"/>
    </row>
    <row r="46" spans="1:10">
      <c r="A46" s="14"/>
      <c r="B46" s="14"/>
      <c r="C46" s="14"/>
      <c r="D46" s="14"/>
      <c r="E46" s="14"/>
      <c r="F46" s="14"/>
      <c r="G46" s="14"/>
      <c r="H46" s="14"/>
      <c r="I46" s="14"/>
      <c r="J46" s="14"/>
    </row>
    <row r="47" spans="1:10" ht="22.5">
      <c r="A47" s="14"/>
      <c r="B47" s="14"/>
      <c r="C47" s="20" t="s">
        <v>14</v>
      </c>
      <c r="D47" s="21" t="s">
        <v>10</v>
      </c>
      <c r="E47" s="21"/>
      <c r="F47" s="22"/>
      <c r="G47" s="22"/>
      <c r="H47" s="21" t="s">
        <v>13</v>
      </c>
      <c r="I47" s="17"/>
      <c r="J47" s="14"/>
    </row>
    <row r="48" spans="1:10" ht="21">
      <c r="A48" s="14"/>
      <c r="B48" s="14"/>
      <c r="C48" s="18">
        <f t="array" ref="C48">MIN(IF(I5:I40&gt;0,I5:I40))</f>
        <v>0</v>
      </c>
      <c r="D48" s="6" t="s">
        <v>8</v>
      </c>
      <c r="E48" s="7">
        <f>COUNTIF(F5:F40,"&gt;=10")</f>
        <v>0</v>
      </c>
      <c r="F48" s="14"/>
      <c r="G48" s="14"/>
      <c r="H48" s="8" t="s">
        <v>8</v>
      </c>
      <c r="I48" s="7">
        <f>COUNTIF(I5:I40,"&gt;=10")</f>
        <v>0</v>
      </c>
      <c r="J48" s="14"/>
    </row>
    <row r="49" spans="1:10" ht="21">
      <c r="A49" s="14"/>
      <c r="B49" s="14"/>
      <c r="C49" s="14"/>
      <c r="D49" s="7" t="s">
        <v>9</v>
      </c>
      <c r="E49" s="7" t="e">
        <f>E48*100/F41</f>
        <v>#DIV/0!</v>
      </c>
      <c r="F49" s="14"/>
      <c r="G49" s="14"/>
      <c r="H49" s="7" t="s">
        <v>9</v>
      </c>
      <c r="I49" s="24" t="e">
        <f>I48*100/H41</f>
        <v>#DIV/0!</v>
      </c>
      <c r="J49" s="14"/>
    </row>
    <row r="50" spans="1:10">
      <c r="A50" s="14"/>
      <c r="B50" s="14"/>
      <c r="C50" s="14"/>
      <c r="D50" s="14"/>
      <c r="E50" s="14"/>
      <c r="F50" s="14"/>
      <c r="G50" s="14"/>
      <c r="H50" s="14"/>
      <c r="I50" s="14"/>
      <c r="J50" s="14"/>
    </row>
    <row r="51" spans="1:10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0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10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0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0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0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0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0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10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0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>
      <c r="A100" s="3"/>
      <c r="B100" s="3"/>
      <c r="C100" s="3"/>
      <c r="D100" s="3"/>
      <c r="E100" s="3"/>
      <c r="F100" s="3"/>
      <c r="G100" s="3"/>
      <c r="H100" s="3"/>
      <c r="I100" s="3"/>
      <c r="J100" s="3"/>
    </row>
    <row r="101" spans="1:10">
      <c r="A101" s="3"/>
      <c r="B101" s="3"/>
      <c r="C101" s="3"/>
      <c r="D101" s="3"/>
      <c r="E101" s="3"/>
      <c r="F101" s="3"/>
      <c r="G101" s="3"/>
      <c r="H101" s="3"/>
      <c r="I101" s="3"/>
      <c r="J101" s="3"/>
    </row>
    <row r="102" spans="1:10">
      <c r="A102" s="3"/>
      <c r="B102" s="3"/>
      <c r="C102" s="3"/>
      <c r="D102" s="3"/>
      <c r="E102" s="3"/>
      <c r="F102" s="3"/>
      <c r="G102" s="3"/>
      <c r="H102" s="3"/>
      <c r="I102" s="3"/>
      <c r="J102" s="3"/>
    </row>
    <row r="103" spans="1:10">
      <c r="A103" s="3"/>
      <c r="B103" s="3"/>
      <c r="C103" s="3"/>
      <c r="D103" s="3"/>
      <c r="E103" s="3"/>
      <c r="F103" s="3"/>
      <c r="G103" s="3"/>
      <c r="H103" s="3"/>
      <c r="I103" s="3"/>
      <c r="J103" s="3"/>
    </row>
  </sheetData>
  <sheetProtection sheet="1" objects="1" scenarios="1" selectLockedCells="1" sort="0"/>
  <mergeCells count="1">
    <mergeCell ref="E2:G2"/>
  </mergeCells>
  <conditionalFormatting sqref="I5:I40">
    <cfRule type="cellIs" dxfId="49" priority="10" operator="lessThan">
      <formula>10</formula>
    </cfRule>
  </conditionalFormatting>
  <conditionalFormatting sqref="I5:I40">
    <cfRule type="cellIs" dxfId="48" priority="9" operator="equal">
      <formula>0</formula>
    </cfRule>
  </conditionalFormatting>
  <conditionalFormatting sqref="H5:H40">
    <cfRule type="cellIs" dxfId="47" priority="8" operator="lessThan">
      <formula>10</formula>
    </cfRule>
  </conditionalFormatting>
  <conditionalFormatting sqref="H5:H40">
    <cfRule type="containsBlanks" dxfId="46" priority="7">
      <formula>LEN(TRIM(H5))=0</formula>
    </cfRule>
  </conditionalFormatting>
  <conditionalFormatting sqref="E45">
    <cfRule type="cellIs" dxfId="45" priority="6" operator="lessThan">
      <formula>50</formula>
    </cfRule>
  </conditionalFormatting>
  <conditionalFormatting sqref="I45">
    <cfRule type="cellIs" dxfId="44" priority="5" operator="lessThan">
      <formula>50</formula>
    </cfRule>
  </conditionalFormatting>
  <conditionalFormatting sqref="E49">
    <cfRule type="cellIs" dxfId="43" priority="4" operator="lessThan">
      <formula>50</formula>
    </cfRule>
  </conditionalFormatting>
  <conditionalFormatting sqref="I49">
    <cfRule type="cellIs" dxfId="42" priority="2" operator="lessThan">
      <formula>50</formula>
    </cfRule>
    <cfRule type="cellIs" dxfId="41" priority="3" operator="lessThan">
      <formula>50</formula>
    </cfRule>
  </conditionalFormatting>
  <conditionalFormatting sqref="D5:F40">
    <cfRule type="cellIs" dxfId="40" priority="1" operator="lessThan">
      <formula>10</formula>
    </cfRule>
  </conditionalFormatting>
  <pageMargins left="0.23622047244094491" right="0.23622047244094491" top="0.74803149606299213" bottom="0.19685039370078741" header="0.31496062992125984" footer="0.31496062992125984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03"/>
  <sheetViews>
    <sheetView showGridLines="0" rightToLeft="1" zoomScale="130" zoomScaleNormal="130" zoomScaleSheetLayoutView="130" workbookViewId="0">
      <selection activeCell="C14" sqref="C14"/>
    </sheetView>
  </sheetViews>
  <sheetFormatPr baseColWidth="10" defaultColWidth="9.140625" defaultRowHeight="15"/>
  <cols>
    <col min="1" max="1" width="1.42578125" customWidth="1"/>
    <col min="2" max="2" width="4" customWidth="1"/>
    <col min="3" max="3" width="21.5703125" customWidth="1"/>
    <col min="4" max="4" width="8" customWidth="1"/>
    <col min="5" max="6" width="7.42578125" customWidth="1"/>
    <col min="7" max="7" width="7.5703125" customWidth="1"/>
    <col min="8" max="8" width="7.28515625" customWidth="1"/>
    <col min="9" max="9" width="9.5703125" customWidth="1"/>
    <col min="10" max="10" width="22.28515625" customWidth="1"/>
    <col min="11" max="11" width="7.7109375" customWidth="1"/>
    <col min="14" max="14" width="9.140625" customWidth="1"/>
  </cols>
  <sheetData>
    <row r="1" spans="1:10">
      <c r="A1" s="3"/>
      <c r="B1" s="14"/>
      <c r="C1" s="14"/>
      <c r="D1" s="14"/>
      <c r="E1" s="14"/>
      <c r="F1" s="14"/>
      <c r="G1" s="14"/>
      <c r="H1" s="14"/>
      <c r="I1" s="14"/>
      <c r="J1" s="14"/>
    </row>
    <row r="2" spans="1:10">
      <c r="A2" s="3"/>
      <c r="B2" s="14" t="s">
        <v>0</v>
      </c>
      <c r="C2" s="1"/>
      <c r="D2" s="14"/>
      <c r="E2" s="30" t="s">
        <v>2</v>
      </c>
      <c r="F2" s="30"/>
      <c r="G2" s="30"/>
      <c r="H2" s="14"/>
      <c r="I2" s="15" t="s">
        <v>1</v>
      </c>
      <c r="J2" s="1"/>
    </row>
    <row r="3" spans="1:10">
      <c r="A3" s="3"/>
      <c r="B3" s="14"/>
      <c r="C3" s="14"/>
      <c r="D3" s="14"/>
      <c r="E3" s="14"/>
      <c r="F3" s="14"/>
      <c r="G3" s="14"/>
      <c r="H3" s="14"/>
      <c r="I3" s="14"/>
      <c r="J3" s="14"/>
    </row>
    <row r="4" spans="1:10" ht="23.25">
      <c r="A4" s="3"/>
      <c r="B4" s="4" t="s">
        <v>17</v>
      </c>
      <c r="C4" s="5" t="s">
        <v>3</v>
      </c>
      <c r="D4" s="5" t="s">
        <v>16</v>
      </c>
      <c r="E4" s="27" t="s">
        <v>5</v>
      </c>
      <c r="F4" s="4" t="s">
        <v>7</v>
      </c>
      <c r="G4" s="25" t="s">
        <v>19</v>
      </c>
      <c r="H4" s="5" t="s">
        <v>4</v>
      </c>
      <c r="I4" s="4" t="s">
        <v>6</v>
      </c>
      <c r="J4" s="4" t="s">
        <v>18</v>
      </c>
    </row>
    <row r="5" spans="1:10">
      <c r="A5" s="3"/>
      <c r="B5" s="13">
        <v>1</v>
      </c>
      <c r="C5" s="2"/>
      <c r="D5" s="12"/>
      <c r="E5" s="26"/>
      <c r="F5" s="12"/>
      <c r="G5" s="10">
        <f>F5+D5</f>
        <v>0</v>
      </c>
      <c r="H5" s="11"/>
      <c r="I5" s="10">
        <f>((H5*3)+(G5))/5</f>
        <v>0</v>
      </c>
      <c r="J5" s="28" t="str">
        <f>IF(I5&gt;=16,"عمل ممتاز واصل بهذا النشاط",IF(I5&gt;=14,"تشكر على مجهوداتك ,واصل ",IF(I5&gt;=12,"عمل جيد يمكنك تحقيق الأفضل ",IF(I5&gt;=10,"عمل حسن كثف مجهودك ",IF(I5&gt;=9,"لا تيأس وحسِن مستواك  ",IF(I5&gt;=0.1," راجع دروسك واهتم أكثر",IF(I5=0,"      ","bad")))))))</f>
        <v/>
      </c>
    </row>
    <row r="6" spans="1:10">
      <c r="A6" s="3"/>
      <c r="B6" s="13">
        <v>2</v>
      </c>
      <c r="C6" s="2"/>
      <c r="D6" s="12"/>
      <c r="E6" s="26"/>
      <c r="F6" s="12"/>
      <c r="G6" s="10">
        <f t="shared" ref="G6:G40" si="0">F6+D6</f>
        <v>0</v>
      </c>
      <c r="H6" s="11"/>
      <c r="I6" s="10">
        <f t="shared" ref="I6:I40" si="1">((H6*3)+(G6))/5</f>
        <v>0</v>
      </c>
      <c r="J6" s="28" t="str">
        <f t="shared" ref="J6:J40" si="2">IF(I6&gt;=16,"عمل ممتاز واصل بهذا النشاط",IF(I6&gt;=14,"تشكر على مجهوداتك ,واصل ",IF(I6&gt;=12,"عمل جيد يمكنك تحقيق الأفضل ",IF(I6&gt;=10,"عمل حسن كثف مجهودك ",IF(I6&gt;=9,"لا تيأس وحسِن مستواك  ",IF(I6&gt;=0.1," راجع دروسك واهتم أكثر",IF(I6=0,"      ","bad")))))))</f>
        <v/>
      </c>
    </row>
    <row r="7" spans="1:10">
      <c r="A7" s="3"/>
      <c r="B7" s="13">
        <v>3</v>
      </c>
      <c r="C7" s="2"/>
      <c r="D7" s="12"/>
      <c r="E7" s="26"/>
      <c r="F7" s="12"/>
      <c r="G7" s="10">
        <f t="shared" si="0"/>
        <v>0</v>
      </c>
      <c r="H7" s="11"/>
      <c r="I7" s="10">
        <f t="shared" si="1"/>
        <v>0</v>
      </c>
      <c r="J7" s="28" t="str">
        <f t="shared" si="2"/>
        <v/>
      </c>
    </row>
    <row r="8" spans="1:10">
      <c r="A8" s="3"/>
      <c r="B8" s="13">
        <v>4</v>
      </c>
      <c r="C8" s="2"/>
      <c r="D8" s="12"/>
      <c r="E8" s="26"/>
      <c r="F8" s="12"/>
      <c r="G8" s="10">
        <f t="shared" si="0"/>
        <v>0</v>
      </c>
      <c r="H8" s="11"/>
      <c r="I8" s="10">
        <f t="shared" si="1"/>
        <v>0</v>
      </c>
      <c r="J8" s="28" t="str">
        <f t="shared" si="2"/>
        <v/>
      </c>
    </row>
    <row r="9" spans="1:10">
      <c r="A9" s="3"/>
      <c r="B9" s="13">
        <v>5</v>
      </c>
      <c r="C9" s="2"/>
      <c r="D9" s="12"/>
      <c r="E9" s="26"/>
      <c r="F9" s="12"/>
      <c r="G9" s="10">
        <f t="shared" si="0"/>
        <v>0</v>
      </c>
      <c r="H9" s="11"/>
      <c r="I9" s="10">
        <f t="shared" si="1"/>
        <v>0</v>
      </c>
      <c r="J9" s="28" t="str">
        <f t="shared" si="2"/>
        <v/>
      </c>
    </row>
    <row r="10" spans="1:10">
      <c r="A10" s="3"/>
      <c r="B10" s="13">
        <v>6</v>
      </c>
      <c r="C10" s="2"/>
      <c r="D10" s="12"/>
      <c r="E10" s="26"/>
      <c r="F10" s="12"/>
      <c r="G10" s="10">
        <f t="shared" si="0"/>
        <v>0</v>
      </c>
      <c r="H10" s="11"/>
      <c r="I10" s="10">
        <f t="shared" si="1"/>
        <v>0</v>
      </c>
      <c r="J10" s="28" t="str">
        <f t="shared" si="2"/>
        <v/>
      </c>
    </row>
    <row r="11" spans="1:10">
      <c r="A11" s="3"/>
      <c r="B11" s="13">
        <v>7</v>
      </c>
      <c r="C11" s="2"/>
      <c r="D11" s="12"/>
      <c r="E11" s="26"/>
      <c r="F11" s="12"/>
      <c r="G11" s="10">
        <f t="shared" si="0"/>
        <v>0</v>
      </c>
      <c r="H11" s="11"/>
      <c r="I11" s="10">
        <f t="shared" si="1"/>
        <v>0</v>
      </c>
      <c r="J11" s="28" t="str">
        <f t="shared" si="2"/>
        <v/>
      </c>
    </row>
    <row r="12" spans="1:10">
      <c r="A12" s="3"/>
      <c r="B12" s="13">
        <v>8</v>
      </c>
      <c r="C12" s="2"/>
      <c r="D12" s="12"/>
      <c r="E12" s="26"/>
      <c r="F12" s="12"/>
      <c r="G12" s="10">
        <f t="shared" si="0"/>
        <v>0</v>
      </c>
      <c r="H12" s="11"/>
      <c r="I12" s="10">
        <f t="shared" si="1"/>
        <v>0</v>
      </c>
      <c r="J12" s="28" t="str">
        <f t="shared" si="2"/>
        <v/>
      </c>
    </row>
    <row r="13" spans="1:10">
      <c r="A13" s="3"/>
      <c r="B13" s="13">
        <v>9</v>
      </c>
      <c r="C13" s="2"/>
      <c r="D13" s="12"/>
      <c r="E13" s="26"/>
      <c r="F13" s="12"/>
      <c r="G13" s="10">
        <f t="shared" si="0"/>
        <v>0</v>
      </c>
      <c r="H13" s="11"/>
      <c r="I13" s="10">
        <f t="shared" si="1"/>
        <v>0</v>
      </c>
      <c r="J13" s="28" t="str">
        <f t="shared" si="2"/>
        <v/>
      </c>
    </row>
    <row r="14" spans="1:10">
      <c r="A14" s="3"/>
      <c r="B14" s="13">
        <v>10</v>
      </c>
      <c r="C14" s="2"/>
      <c r="D14" s="12"/>
      <c r="E14" s="26"/>
      <c r="F14" s="12"/>
      <c r="G14" s="10">
        <f t="shared" si="0"/>
        <v>0</v>
      </c>
      <c r="H14" s="11"/>
      <c r="I14" s="10">
        <f t="shared" si="1"/>
        <v>0</v>
      </c>
      <c r="J14" s="28" t="str">
        <f t="shared" si="2"/>
        <v/>
      </c>
    </row>
    <row r="15" spans="1:10">
      <c r="A15" s="3"/>
      <c r="B15" s="13">
        <v>11</v>
      </c>
      <c r="C15" s="2"/>
      <c r="D15" s="12"/>
      <c r="E15" s="26"/>
      <c r="F15" s="12"/>
      <c r="G15" s="10">
        <f t="shared" si="0"/>
        <v>0</v>
      </c>
      <c r="H15" s="11"/>
      <c r="I15" s="10">
        <f t="shared" si="1"/>
        <v>0</v>
      </c>
      <c r="J15" s="28" t="str">
        <f t="shared" si="2"/>
        <v/>
      </c>
    </row>
    <row r="16" spans="1:10">
      <c r="A16" s="3"/>
      <c r="B16" s="13">
        <v>12</v>
      </c>
      <c r="C16" s="2"/>
      <c r="D16" s="12"/>
      <c r="E16" s="26"/>
      <c r="F16" s="12"/>
      <c r="G16" s="10">
        <f t="shared" si="0"/>
        <v>0</v>
      </c>
      <c r="H16" s="11"/>
      <c r="I16" s="10">
        <f t="shared" si="1"/>
        <v>0</v>
      </c>
      <c r="J16" s="28" t="str">
        <f t="shared" si="2"/>
        <v/>
      </c>
    </row>
    <row r="17" spans="1:10">
      <c r="A17" s="3"/>
      <c r="B17" s="13">
        <v>13</v>
      </c>
      <c r="C17" s="2"/>
      <c r="D17" s="12"/>
      <c r="E17" s="26"/>
      <c r="F17" s="12"/>
      <c r="G17" s="10">
        <f t="shared" si="0"/>
        <v>0</v>
      </c>
      <c r="H17" s="11"/>
      <c r="I17" s="10">
        <f t="shared" si="1"/>
        <v>0</v>
      </c>
      <c r="J17" s="28" t="str">
        <f t="shared" si="2"/>
        <v/>
      </c>
    </row>
    <row r="18" spans="1:10">
      <c r="A18" s="3"/>
      <c r="B18" s="13">
        <v>14</v>
      </c>
      <c r="C18" s="2"/>
      <c r="D18" s="12"/>
      <c r="E18" s="26"/>
      <c r="F18" s="12"/>
      <c r="G18" s="10">
        <f t="shared" si="0"/>
        <v>0</v>
      </c>
      <c r="H18" s="11"/>
      <c r="I18" s="10">
        <f t="shared" si="1"/>
        <v>0</v>
      </c>
      <c r="J18" s="28" t="str">
        <f t="shared" si="2"/>
        <v/>
      </c>
    </row>
    <row r="19" spans="1:10">
      <c r="A19" s="3"/>
      <c r="B19" s="13">
        <v>15</v>
      </c>
      <c r="C19" s="2"/>
      <c r="D19" s="12"/>
      <c r="E19" s="26"/>
      <c r="F19" s="12"/>
      <c r="G19" s="10">
        <f t="shared" si="0"/>
        <v>0</v>
      </c>
      <c r="H19" s="11"/>
      <c r="I19" s="10">
        <f t="shared" si="1"/>
        <v>0</v>
      </c>
      <c r="J19" s="28" t="str">
        <f t="shared" si="2"/>
        <v/>
      </c>
    </row>
    <row r="20" spans="1:10">
      <c r="A20" s="3"/>
      <c r="B20" s="13">
        <v>16</v>
      </c>
      <c r="C20" s="2"/>
      <c r="D20" s="12"/>
      <c r="E20" s="26"/>
      <c r="F20" s="12"/>
      <c r="G20" s="10">
        <f t="shared" si="0"/>
        <v>0</v>
      </c>
      <c r="H20" s="11"/>
      <c r="I20" s="10">
        <f t="shared" si="1"/>
        <v>0</v>
      </c>
      <c r="J20" s="28" t="str">
        <f t="shared" si="2"/>
        <v/>
      </c>
    </row>
    <row r="21" spans="1:10">
      <c r="A21" s="3"/>
      <c r="B21" s="13">
        <v>17</v>
      </c>
      <c r="C21" s="2"/>
      <c r="D21" s="12"/>
      <c r="E21" s="26"/>
      <c r="F21" s="12"/>
      <c r="G21" s="10">
        <f t="shared" si="0"/>
        <v>0</v>
      </c>
      <c r="H21" s="11"/>
      <c r="I21" s="10">
        <f t="shared" si="1"/>
        <v>0</v>
      </c>
      <c r="J21" s="28" t="str">
        <f t="shared" si="2"/>
        <v/>
      </c>
    </row>
    <row r="22" spans="1:10">
      <c r="A22" s="3"/>
      <c r="B22" s="13">
        <v>18</v>
      </c>
      <c r="C22" s="2"/>
      <c r="D22" s="12"/>
      <c r="E22" s="26"/>
      <c r="F22" s="12"/>
      <c r="G22" s="10">
        <f t="shared" si="0"/>
        <v>0</v>
      </c>
      <c r="H22" s="11"/>
      <c r="I22" s="10">
        <f t="shared" si="1"/>
        <v>0</v>
      </c>
      <c r="J22" s="28" t="str">
        <f t="shared" si="2"/>
        <v/>
      </c>
    </row>
    <row r="23" spans="1:10">
      <c r="A23" s="3"/>
      <c r="B23" s="13">
        <v>19</v>
      </c>
      <c r="C23" s="2"/>
      <c r="D23" s="12"/>
      <c r="E23" s="26"/>
      <c r="F23" s="12"/>
      <c r="G23" s="10">
        <f t="shared" si="0"/>
        <v>0</v>
      </c>
      <c r="H23" s="11"/>
      <c r="I23" s="10">
        <f t="shared" si="1"/>
        <v>0</v>
      </c>
      <c r="J23" s="28" t="str">
        <f t="shared" si="2"/>
        <v/>
      </c>
    </row>
    <row r="24" spans="1:10">
      <c r="A24" s="3"/>
      <c r="B24" s="13">
        <v>20</v>
      </c>
      <c r="C24" s="2"/>
      <c r="D24" s="12"/>
      <c r="E24" s="26"/>
      <c r="F24" s="12"/>
      <c r="G24" s="10">
        <f t="shared" si="0"/>
        <v>0</v>
      </c>
      <c r="H24" s="11"/>
      <c r="I24" s="10">
        <f t="shared" si="1"/>
        <v>0</v>
      </c>
      <c r="J24" s="28" t="str">
        <f t="shared" si="2"/>
        <v/>
      </c>
    </row>
    <row r="25" spans="1:10">
      <c r="A25" s="3"/>
      <c r="B25" s="13">
        <v>21</v>
      </c>
      <c r="C25" s="2"/>
      <c r="D25" s="12"/>
      <c r="E25" s="26"/>
      <c r="F25" s="12"/>
      <c r="G25" s="10">
        <f t="shared" si="0"/>
        <v>0</v>
      </c>
      <c r="H25" s="11"/>
      <c r="I25" s="10">
        <f t="shared" si="1"/>
        <v>0</v>
      </c>
      <c r="J25" s="28" t="str">
        <f t="shared" si="2"/>
        <v/>
      </c>
    </row>
    <row r="26" spans="1:10">
      <c r="A26" s="3"/>
      <c r="B26" s="13">
        <v>22</v>
      </c>
      <c r="C26" s="2"/>
      <c r="D26" s="12"/>
      <c r="E26" s="26"/>
      <c r="F26" s="12"/>
      <c r="G26" s="10">
        <f t="shared" si="0"/>
        <v>0</v>
      </c>
      <c r="H26" s="11"/>
      <c r="I26" s="10">
        <f t="shared" si="1"/>
        <v>0</v>
      </c>
      <c r="J26" s="28" t="str">
        <f t="shared" si="2"/>
        <v/>
      </c>
    </row>
    <row r="27" spans="1:10">
      <c r="A27" s="3"/>
      <c r="B27" s="13">
        <v>23</v>
      </c>
      <c r="C27" s="2"/>
      <c r="D27" s="12"/>
      <c r="E27" s="26"/>
      <c r="F27" s="12"/>
      <c r="G27" s="10">
        <f t="shared" si="0"/>
        <v>0</v>
      </c>
      <c r="H27" s="11"/>
      <c r="I27" s="10">
        <f t="shared" si="1"/>
        <v>0</v>
      </c>
      <c r="J27" s="28" t="str">
        <f t="shared" si="2"/>
        <v/>
      </c>
    </row>
    <row r="28" spans="1:10">
      <c r="A28" s="3"/>
      <c r="B28" s="13">
        <v>24</v>
      </c>
      <c r="C28" s="2"/>
      <c r="D28" s="12"/>
      <c r="E28" s="26"/>
      <c r="F28" s="12"/>
      <c r="G28" s="10">
        <f t="shared" si="0"/>
        <v>0</v>
      </c>
      <c r="H28" s="11"/>
      <c r="I28" s="10">
        <f t="shared" si="1"/>
        <v>0</v>
      </c>
      <c r="J28" s="28" t="str">
        <f t="shared" si="2"/>
        <v/>
      </c>
    </row>
    <row r="29" spans="1:10">
      <c r="A29" s="3"/>
      <c r="B29" s="13">
        <v>25</v>
      </c>
      <c r="C29" s="2"/>
      <c r="D29" s="12"/>
      <c r="E29" s="26"/>
      <c r="F29" s="12"/>
      <c r="G29" s="10">
        <f t="shared" si="0"/>
        <v>0</v>
      </c>
      <c r="H29" s="11"/>
      <c r="I29" s="10">
        <f t="shared" si="1"/>
        <v>0</v>
      </c>
      <c r="J29" s="28" t="str">
        <f t="shared" si="2"/>
        <v/>
      </c>
    </row>
    <row r="30" spans="1:10">
      <c r="A30" s="3"/>
      <c r="B30" s="13">
        <v>26</v>
      </c>
      <c r="C30" s="2"/>
      <c r="D30" s="12"/>
      <c r="E30" s="26"/>
      <c r="F30" s="12"/>
      <c r="G30" s="10">
        <f t="shared" si="0"/>
        <v>0</v>
      </c>
      <c r="H30" s="11"/>
      <c r="I30" s="10">
        <f t="shared" si="1"/>
        <v>0</v>
      </c>
      <c r="J30" s="28" t="str">
        <f t="shared" si="2"/>
        <v/>
      </c>
    </row>
    <row r="31" spans="1:10">
      <c r="A31" s="3"/>
      <c r="B31" s="13">
        <v>27</v>
      </c>
      <c r="C31" s="2"/>
      <c r="D31" s="12"/>
      <c r="E31" s="26"/>
      <c r="F31" s="12"/>
      <c r="G31" s="10">
        <f t="shared" si="0"/>
        <v>0</v>
      </c>
      <c r="H31" s="11"/>
      <c r="I31" s="10">
        <f t="shared" si="1"/>
        <v>0</v>
      </c>
      <c r="J31" s="28" t="str">
        <f t="shared" si="2"/>
        <v/>
      </c>
    </row>
    <row r="32" spans="1:10">
      <c r="A32" s="3"/>
      <c r="B32" s="13">
        <v>28</v>
      </c>
      <c r="C32" s="2"/>
      <c r="D32" s="12"/>
      <c r="E32" s="26"/>
      <c r="F32" s="12"/>
      <c r="G32" s="10">
        <f t="shared" si="0"/>
        <v>0</v>
      </c>
      <c r="H32" s="11"/>
      <c r="I32" s="10">
        <f t="shared" si="1"/>
        <v>0</v>
      </c>
      <c r="J32" s="28" t="str">
        <f t="shared" si="2"/>
        <v/>
      </c>
    </row>
    <row r="33" spans="1:10">
      <c r="A33" s="3"/>
      <c r="B33" s="13">
        <v>29</v>
      </c>
      <c r="C33" s="2"/>
      <c r="D33" s="12"/>
      <c r="E33" s="26"/>
      <c r="F33" s="12"/>
      <c r="G33" s="10">
        <f t="shared" si="0"/>
        <v>0</v>
      </c>
      <c r="H33" s="11"/>
      <c r="I33" s="10">
        <f t="shared" si="1"/>
        <v>0</v>
      </c>
      <c r="J33" s="28" t="str">
        <f t="shared" si="2"/>
        <v/>
      </c>
    </row>
    <row r="34" spans="1:10">
      <c r="A34" s="3"/>
      <c r="B34" s="13">
        <v>30</v>
      </c>
      <c r="C34" s="2"/>
      <c r="D34" s="12"/>
      <c r="E34" s="26"/>
      <c r="F34" s="12"/>
      <c r="G34" s="10">
        <f t="shared" si="0"/>
        <v>0</v>
      </c>
      <c r="H34" s="11"/>
      <c r="I34" s="10">
        <f t="shared" si="1"/>
        <v>0</v>
      </c>
      <c r="J34" s="28" t="str">
        <f t="shared" si="2"/>
        <v/>
      </c>
    </row>
    <row r="35" spans="1:10">
      <c r="A35" s="3"/>
      <c r="B35" s="13">
        <v>31</v>
      </c>
      <c r="C35" s="2"/>
      <c r="D35" s="12"/>
      <c r="E35" s="26"/>
      <c r="F35" s="12"/>
      <c r="G35" s="10">
        <f t="shared" si="0"/>
        <v>0</v>
      </c>
      <c r="H35" s="11"/>
      <c r="I35" s="10">
        <f t="shared" si="1"/>
        <v>0</v>
      </c>
      <c r="J35" s="28" t="str">
        <f t="shared" si="2"/>
        <v/>
      </c>
    </row>
    <row r="36" spans="1:10">
      <c r="A36" s="3"/>
      <c r="B36" s="13">
        <v>32</v>
      </c>
      <c r="C36" s="2"/>
      <c r="D36" s="12"/>
      <c r="E36" s="26"/>
      <c r="F36" s="12"/>
      <c r="G36" s="10">
        <f t="shared" si="0"/>
        <v>0</v>
      </c>
      <c r="H36" s="11"/>
      <c r="I36" s="10">
        <f t="shared" si="1"/>
        <v>0</v>
      </c>
      <c r="J36" s="28" t="str">
        <f t="shared" si="2"/>
        <v/>
      </c>
    </row>
    <row r="37" spans="1:10">
      <c r="A37" s="3"/>
      <c r="B37" s="13">
        <v>33</v>
      </c>
      <c r="C37" s="2"/>
      <c r="D37" s="12"/>
      <c r="E37" s="26"/>
      <c r="F37" s="12"/>
      <c r="G37" s="10">
        <f t="shared" si="0"/>
        <v>0</v>
      </c>
      <c r="H37" s="11"/>
      <c r="I37" s="10">
        <f t="shared" si="1"/>
        <v>0</v>
      </c>
      <c r="J37" s="28" t="str">
        <f t="shared" si="2"/>
        <v/>
      </c>
    </row>
    <row r="38" spans="1:10">
      <c r="A38" s="3"/>
      <c r="B38" s="13">
        <v>34</v>
      </c>
      <c r="C38" s="2"/>
      <c r="D38" s="12"/>
      <c r="E38" s="26"/>
      <c r="F38" s="12"/>
      <c r="G38" s="10">
        <f t="shared" si="0"/>
        <v>0</v>
      </c>
      <c r="H38" s="11"/>
      <c r="I38" s="10">
        <f t="shared" si="1"/>
        <v>0</v>
      </c>
      <c r="J38" s="28" t="str">
        <f t="shared" si="2"/>
        <v/>
      </c>
    </row>
    <row r="39" spans="1:10">
      <c r="A39" s="3"/>
      <c r="B39" s="13">
        <v>35</v>
      </c>
      <c r="C39" s="2"/>
      <c r="D39" s="12"/>
      <c r="E39" s="26"/>
      <c r="F39" s="12"/>
      <c r="G39" s="10">
        <f t="shared" si="0"/>
        <v>0</v>
      </c>
      <c r="H39" s="11"/>
      <c r="I39" s="10">
        <f t="shared" si="1"/>
        <v>0</v>
      </c>
      <c r="J39" s="28" t="str">
        <f t="shared" si="2"/>
        <v/>
      </c>
    </row>
    <row r="40" spans="1:10">
      <c r="A40" s="3"/>
      <c r="B40" s="13">
        <v>36</v>
      </c>
      <c r="C40" s="2"/>
      <c r="D40" s="12"/>
      <c r="E40" s="26"/>
      <c r="F40" s="12"/>
      <c r="G40" s="10">
        <f t="shared" si="0"/>
        <v>0</v>
      </c>
      <c r="H40" s="11"/>
      <c r="I40" s="10">
        <f t="shared" si="1"/>
        <v>0</v>
      </c>
      <c r="J40" s="28" t="str">
        <f t="shared" si="2"/>
        <v/>
      </c>
    </row>
    <row r="41" spans="1:10">
      <c r="A41" s="14"/>
      <c r="B41" s="14"/>
      <c r="C41" s="14"/>
      <c r="D41" s="16"/>
      <c r="E41" s="19">
        <f>COUNTA(E5:E40)</f>
        <v>0</v>
      </c>
      <c r="F41" s="19">
        <f>COUNTA(F5:F40)</f>
        <v>0</v>
      </c>
      <c r="G41" s="19"/>
      <c r="H41" s="19">
        <f>COUNTA(H5:H40)</f>
        <v>0</v>
      </c>
      <c r="I41" s="16"/>
      <c r="J41" s="14"/>
    </row>
    <row r="42" spans="1:10">
      <c r="A42" s="14"/>
      <c r="B42" s="14"/>
      <c r="C42" s="14"/>
      <c r="D42" s="14"/>
      <c r="E42" s="14"/>
      <c r="F42" s="14"/>
      <c r="G42" s="14"/>
      <c r="H42" s="14"/>
      <c r="I42" s="14"/>
      <c r="J42" s="14"/>
    </row>
    <row r="43" spans="1:10" ht="22.5">
      <c r="A43" s="14"/>
      <c r="B43" s="14"/>
      <c r="C43" s="20" t="s">
        <v>15</v>
      </c>
      <c r="D43" s="21" t="s">
        <v>11</v>
      </c>
      <c r="E43" s="21"/>
      <c r="F43" s="22"/>
      <c r="G43" s="22"/>
      <c r="H43" s="21" t="s">
        <v>12</v>
      </c>
      <c r="I43" s="17"/>
      <c r="J43" s="14"/>
    </row>
    <row r="44" spans="1:10" ht="21">
      <c r="A44" s="14"/>
      <c r="B44" s="14"/>
      <c r="C44" s="23">
        <f>MAX(I5:I40)</f>
        <v>0</v>
      </c>
      <c r="D44" s="6" t="s">
        <v>8</v>
      </c>
      <c r="E44" s="7">
        <f>COUNTIF(E5:E40,"&gt;=10")</f>
        <v>0</v>
      </c>
      <c r="F44" s="14"/>
      <c r="G44" s="14"/>
      <c r="H44" s="8" t="s">
        <v>8</v>
      </c>
      <c r="I44" s="7">
        <f>COUNTIF(H5:H40,"&gt;=10")</f>
        <v>0</v>
      </c>
      <c r="J44" s="14"/>
    </row>
    <row r="45" spans="1:10" ht="21">
      <c r="A45" s="14"/>
      <c r="B45" s="14"/>
      <c r="C45" s="14"/>
      <c r="D45" s="7" t="s">
        <v>9</v>
      </c>
      <c r="E45" s="24" t="e">
        <f>E44*100/E41</f>
        <v>#DIV/0!</v>
      </c>
      <c r="F45" s="14"/>
      <c r="G45" s="14"/>
      <c r="H45" s="7" t="s">
        <v>9</v>
      </c>
      <c r="I45" s="9" t="e">
        <f>I44*100/H41</f>
        <v>#DIV/0!</v>
      </c>
      <c r="J45" s="14"/>
    </row>
    <row r="46" spans="1:10">
      <c r="A46" s="14"/>
      <c r="B46" s="14"/>
      <c r="C46" s="14"/>
      <c r="D46" s="14"/>
      <c r="E46" s="14"/>
      <c r="F46" s="14"/>
      <c r="G46" s="14"/>
      <c r="H46" s="14"/>
      <c r="I46" s="14"/>
      <c r="J46" s="14"/>
    </row>
    <row r="47" spans="1:10" ht="22.5">
      <c r="A47" s="14"/>
      <c r="B47" s="14"/>
      <c r="C47" s="20" t="s">
        <v>14</v>
      </c>
      <c r="D47" s="21" t="s">
        <v>10</v>
      </c>
      <c r="E47" s="21"/>
      <c r="F47" s="22"/>
      <c r="G47" s="22"/>
      <c r="H47" s="21" t="s">
        <v>13</v>
      </c>
      <c r="I47" s="17"/>
      <c r="J47" s="14"/>
    </row>
    <row r="48" spans="1:10" ht="21">
      <c r="A48" s="14"/>
      <c r="B48" s="14"/>
      <c r="C48" s="18">
        <f t="array" ref="C48">MIN(IF(I5:I40&gt;0,I5:I40))</f>
        <v>0</v>
      </c>
      <c r="D48" s="6" t="s">
        <v>8</v>
      </c>
      <c r="E48" s="7">
        <f>COUNTIF(F5:F40,"&gt;=10")</f>
        <v>0</v>
      </c>
      <c r="F48" s="14"/>
      <c r="G48" s="14"/>
      <c r="H48" s="8" t="s">
        <v>8</v>
      </c>
      <c r="I48" s="7">
        <f>COUNTIF(I5:I40,"&gt;=10")</f>
        <v>0</v>
      </c>
      <c r="J48" s="14"/>
    </row>
    <row r="49" spans="1:10" ht="21">
      <c r="A49" s="14"/>
      <c r="B49" s="14"/>
      <c r="C49" s="14"/>
      <c r="D49" s="7" t="s">
        <v>9</v>
      </c>
      <c r="E49" s="7" t="e">
        <f>E48*100/F41</f>
        <v>#DIV/0!</v>
      </c>
      <c r="F49" s="14"/>
      <c r="G49" s="14"/>
      <c r="H49" s="7" t="s">
        <v>9</v>
      </c>
      <c r="I49" s="9" t="e">
        <f>I48*100/H41</f>
        <v>#DIV/0!</v>
      </c>
      <c r="J49" s="14"/>
    </row>
    <row r="50" spans="1:10">
      <c r="A50" s="14"/>
      <c r="B50" s="14"/>
      <c r="C50" s="14"/>
      <c r="D50" s="14"/>
      <c r="E50" s="14"/>
      <c r="F50" s="14"/>
      <c r="G50" s="14"/>
      <c r="H50" s="14"/>
      <c r="I50" s="14"/>
      <c r="J50" s="14"/>
    </row>
    <row r="51" spans="1:10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0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10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0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0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0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0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0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10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0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>
      <c r="A100" s="3"/>
      <c r="B100" s="3"/>
      <c r="C100" s="3"/>
      <c r="D100" s="3"/>
      <c r="E100" s="3"/>
      <c r="F100" s="3"/>
      <c r="G100" s="3"/>
      <c r="H100" s="3"/>
      <c r="I100" s="3"/>
      <c r="J100" s="3"/>
    </row>
    <row r="101" spans="1:10">
      <c r="A101" s="3"/>
      <c r="B101" s="3"/>
      <c r="C101" s="3"/>
      <c r="D101" s="3"/>
      <c r="E101" s="3"/>
      <c r="F101" s="3"/>
      <c r="G101" s="3"/>
      <c r="H101" s="3"/>
      <c r="I101" s="3"/>
      <c r="J101" s="3"/>
    </row>
    <row r="102" spans="1:10">
      <c r="A102" s="3"/>
      <c r="B102" s="3"/>
      <c r="C102" s="3"/>
      <c r="D102" s="3"/>
      <c r="E102" s="3"/>
      <c r="F102" s="3"/>
      <c r="G102" s="3"/>
      <c r="H102" s="3"/>
      <c r="I102" s="3"/>
      <c r="J102" s="3"/>
    </row>
    <row r="103" spans="1:10">
      <c r="A103" s="3"/>
      <c r="B103" s="3"/>
      <c r="C103" s="3"/>
      <c r="D103" s="3"/>
      <c r="E103" s="3"/>
      <c r="F103" s="3"/>
      <c r="G103" s="3"/>
      <c r="H103" s="3"/>
      <c r="I103" s="3"/>
      <c r="J103" s="3"/>
    </row>
  </sheetData>
  <sheetProtection sheet="1" objects="1" scenarios="1" selectLockedCells="1" sort="0"/>
  <protectedRanges>
    <protectedRange sqref="E5:E40" name="Plage1"/>
  </protectedRanges>
  <mergeCells count="1">
    <mergeCell ref="E2:G2"/>
  </mergeCells>
  <conditionalFormatting sqref="I5:I40">
    <cfRule type="cellIs" dxfId="39" priority="10" operator="lessThan">
      <formula>10</formula>
    </cfRule>
  </conditionalFormatting>
  <conditionalFormatting sqref="I5:I40">
    <cfRule type="cellIs" dxfId="38" priority="9" operator="equal">
      <formula>0</formula>
    </cfRule>
  </conditionalFormatting>
  <conditionalFormatting sqref="H5:H40">
    <cfRule type="cellIs" dxfId="37" priority="8" operator="lessThan">
      <formula>10</formula>
    </cfRule>
  </conditionalFormatting>
  <conditionalFormatting sqref="H5:H40">
    <cfRule type="containsBlanks" dxfId="36" priority="7">
      <formula>LEN(TRIM(H5))=0</formula>
    </cfRule>
  </conditionalFormatting>
  <conditionalFormatting sqref="E45">
    <cfRule type="cellIs" dxfId="35" priority="6" operator="lessThan">
      <formula>50</formula>
    </cfRule>
  </conditionalFormatting>
  <conditionalFormatting sqref="I45">
    <cfRule type="cellIs" dxfId="34" priority="5" operator="lessThan">
      <formula>50</formula>
    </cfRule>
  </conditionalFormatting>
  <conditionalFormatting sqref="E49">
    <cfRule type="cellIs" dxfId="33" priority="4" operator="lessThan">
      <formula>50</formula>
    </cfRule>
  </conditionalFormatting>
  <conditionalFormatting sqref="I49">
    <cfRule type="cellIs" dxfId="32" priority="2" operator="lessThan">
      <formula>50</formula>
    </cfRule>
    <cfRule type="cellIs" dxfId="31" priority="3" operator="lessThan">
      <formula>50</formula>
    </cfRule>
  </conditionalFormatting>
  <conditionalFormatting sqref="D5:F40">
    <cfRule type="cellIs" dxfId="30" priority="1" operator="lessThan">
      <formula>10</formula>
    </cfRule>
  </conditionalFormatting>
  <pageMargins left="0.23622047244094491" right="0.23622047244094491" top="0.74803149606299213" bottom="0.19685039370078741" header="0.31496062992125984" footer="0.31496062992125984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03"/>
  <sheetViews>
    <sheetView showGridLines="0" rightToLeft="1" topLeftCell="A24" zoomScale="130" zoomScaleNormal="130" zoomScaleSheetLayoutView="130" workbookViewId="0">
      <selection activeCell="H40" sqref="H40"/>
    </sheetView>
  </sheetViews>
  <sheetFormatPr baseColWidth="10" defaultColWidth="9.140625" defaultRowHeight="15"/>
  <cols>
    <col min="1" max="1" width="1.42578125" customWidth="1"/>
    <col min="2" max="2" width="4" customWidth="1"/>
    <col min="3" max="3" width="21.5703125" customWidth="1"/>
    <col min="4" max="4" width="8" customWidth="1"/>
    <col min="5" max="6" width="7.42578125" customWidth="1"/>
    <col min="7" max="7" width="7.5703125" customWidth="1"/>
    <col min="8" max="8" width="7.28515625" customWidth="1"/>
    <col min="9" max="9" width="9.5703125" customWidth="1"/>
    <col min="10" max="10" width="22.28515625" customWidth="1"/>
    <col min="11" max="11" width="7.7109375" customWidth="1"/>
    <col min="14" max="14" width="9.140625" customWidth="1"/>
  </cols>
  <sheetData>
    <row r="1" spans="1:10">
      <c r="A1" s="3"/>
      <c r="B1" s="14"/>
      <c r="C1" s="14"/>
      <c r="D1" s="14"/>
      <c r="E1" s="14"/>
      <c r="F1" s="14"/>
      <c r="G1" s="14"/>
      <c r="H1" s="14"/>
      <c r="I1" s="14"/>
      <c r="J1" s="14"/>
    </row>
    <row r="2" spans="1:10">
      <c r="A2" s="3"/>
      <c r="B2" s="14" t="s">
        <v>0</v>
      </c>
      <c r="C2" s="1"/>
      <c r="D2" s="14"/>
      <c r="E2" s="30" t="s">
        <v>2</v>
      </c>
      <c r="F2" s="30"/>
      <c r="G2" s="30"/>
      <c r="H2" s="14"/>
      <c r="I2" s="15" t="s">
        <v>1</v>
      </c>
      <c r="J2" s="1"/>
    </row>
    <row r="3" spans="1:10">
      <c r="A3" s="3"/>
      <c r="B3" s="14"/>
      <c r="C3" s="14"/>
      <c r="D3" s="14"/>
      <c r="E3" s="14"/>
      <c r="F3" s="14"/>
      <c r="G3" s="14"/>
      <c r="H3" s="14"/>
      <c r="I3" s="14"/>
      <c r="J3" s="14"/>
    </row>
    <row r="4" spans="1:10" ht="23.25">
      <c r="A4" s="3"/>
      <c r="B4" s="4" t="s">
        <v>17</v>
      </c>
      <c r="C4" s="5" t="s">
        <v>3</v>
      </c>
      <c r="D4" s="5" t="s">
        <v>16</v>
      </c>
      <c r="E4" s="27" t="s">
        <v>5</v>
      </c>
      <c r="F4" s="4" t="s">
        <v>7</v>
      </c>
      <c r="G4" s="25" t="s">
        <v>19</v>
      </c>
      <c r="H4" s="5" t="s">
        <v>4</v>
      </c>
      <c r="I4" s="4" t="s">
        <v>6</v>
      </c>
      <c r="J4" s="4" t="s">
        <v>18</v>
      </c>
    </row>
    <row r="5" spans="1:10">
      <c r="A5" s="3"/>
      <c r="B5" s="13">
        <v>1</v>
      </c>
      <c r="C5" s="2"/>
      <c r="D5" s="12"/>
      <c r="E5" s="26"/>
      <c r="F5" s="12"/>
      <c r="G5" s="10">
        <f>F5+D5</f>
        <v>0</v>
      </c>
      <c r="H5" s="11"/>
      <c r="I5" s="10">
        <f>((H5*3)+(G5))/5</f>
        <v>0</v>
      </c>
      <c r="J5" s="28" t="str">
        <f>IF(I5&gt;=16,"عمل ممتاز واصل بهذا النشاط",IF(I5&gt;=14,"تشكر على مجهوداتك ,واصل ",IF(I5&gt;=12,"عمل جيد يمكنك تحقيق الأفضل ",IF(I5&gt;=10,"عمل حسن كثف مجهودك ",IF(I5&gt;=9,"لا تيأس وحسِن مستواك  ",IF(I5&gt;=0.1," راجع دروسك واهتم أكثر",IF(I5=0,"      ","bad")))))))</f>
        <v/>
      </c>
    </row>
    <row r="6" spans="1:10">
      <c r="A6" s="3"/>
      <c r="B6" s="13">
        <v>2</v>
      </c>
      <c r="C6" s="2"/>
      <c r="D6" s="12"/>
      <c r="E6" s="26"/>
      <c r="F6" s="12"/>
      <c r="G6" s="10">
        <f t="shared" ref="G6:G40" si="0">F6+D6</f>
        <v>0</v>
      </c>
      <c r="H6" s="11"/>
      <c r="I6" s="10">
        <f t="shared" ref="I6:I40" si="1">((H6*3)+(G6))/5</f>
        <v>0</v>
      </c>
      <c r="J6" s="28" t="str">
        <f t="shared" ref="J6:J40" si="2">IF(I6&gt;=16,"عمل ممتاز واصل بهذا النشاط",IF(I6&gt;=14,"تشكر على مجهوداتك ,واصل ",IF(I6&gt;=12,"عمل جيد يمكنك تحقيق الأفضل ",IF(I6&gt;=10,"عمل حسن كثف مجهودك ",IF(I6&gt;=9,"لا تيأس وحسِن مستواك  ",IF(I6&gt;=0.1," راجع دروسك واهتم أكثر",IF(I6=0,"      ","bad")))))))</f>
        <v/>
      </c>
    </row>
    <row r="7" spans="1:10">
      <c r="A7" s="3"/>
      <c r="B7" s="13">
        <v>3</v>
      </c>
      <c r="C7" s="2"/>
      <c r="D7" s="12"/>
      <c r="E7" s="26"/>
      <c r="F7" s="12"/>
      <c r="G7" s="10">
        <f t="shared" si="0"/>
        <v>0</v>
      </c>
      <c r="H7" s="11"/>
      <c r="I7" s="10">
        <f t="shared" si="1"/>
        <v>0</v>
      </c>
      <c r="J7" s="28" t="str">
        <f t="shared" si="2"/>
        <v/>
      </c>
    </row>
    <row r="8" spans="1:10">
      <c r="A8" s="3"/>
      <c r="B8" s="13">
        <v>4</v>
      </c>
      <c r="C8" s="2"/>
      <c r="D8" s="12"/>
      <c r="E8" s="26"/>
      <c r="F8" s="12"/>
      <c r="G8" s="10">
        <f t="shared" si="0"/>
        <v>0</v>
      </c>
      <c r="H8" s="11"/>
      <c r="I8" s="10">
        <f t="shared" si="1"/>
        <v>0</v>
      </c>
      <c r="J8" s="28" t="str">
        <f t="shared" si="2"/>
        <v/>
      </c>
    </row>
    <row r="9" spans="1:10">
      <c r="A9" s="3"/>
      <c r="B9" s="13">
        <v>5</v>
      </c>
      <c r="C9" s="2"/>
      <c r="D9" s="12"/>
      <c r="E9" s="26"/>
      <c r="F9" s="12"/>
      <c r="G9" s="10">
        <f t="shared" si="0"/>
        <v>0</v>
      </c>
      <c r="H9" s="11"/>
      <c r="I9" s="10">
        <f t="shared" si="1"/>
        <v>0</v>
      </c>
      <c r="J9" s="28" t="str">
        <f t="shared" si="2"/>
        <v/>
      </c>
    </row>
    <row r="10" spans="1:10">
      <c r="A10" s="3"/>
      <c r="B10" s="13">
        <v>6</v>
      </c>
      <c r="C10" s="2"/>
      <c r="D10" s="12"/>
      <c r="E10" s="26"/>
      <c r="F10" s="12"/>
      <c r="G10" s="10">
        <f t="shared" si="0"/>
        <v>0</v>
      </c>
      <c r="H10" s="11"/>
      <c r="I10" s="10">
        <f t="shared" si="1"/>
        <v>0</v>
      </c>
      <c r="J10" s="28" t="str">
        <f t="shared" si="2"/>
        <v/>
      </c>
    </row>
    <row r="11" spans="1:10">
      <c r="A11" s="3"/>
      <c r="B11" s="13">
        <v>7</v>
      </c>
      <c r="C11" s="2"/>
      <c r="D11" s="12"/>
      <c r="E11" s="26"/>
      <c r="F11" s="12"/>
      <c r="G11" s="10">
        <f t="shared" si="0"/>
        <v>0</v>
      </c>
      <c r="H11" s="11"/>
      <c r="I11" s="10">
        <f t="shared" si="1"/>
        <v>0</v>
      </c>
      <c r="J11" s="28" t="str">
        <f t="shared" si="2"/>
        <v/>
      </c>
    </row>
    <row r="12" spans="1:10">
      <c r="A12" s="3"/>
      <c r="B12" s="13">
        <v>8</v>
      </c>
      <c r="C12" s="2"/>
      <c r="D12" s="12"/>
      <c r="E12" s="26"/>
      <c r="F12" s="12"/>
      <c r="G12" s="10">
        <f t="shared" si="0"/>
        <v>0</v>
      </c>
      <c r="H12" s="11"/>
      <c r="I12" s="10">
        <f t="shared" si="1"/>
        <v>0</v>
      </c>
      <c r="J12" s="28" t="str">
        <f t="shared" si="2"/>
        <v/>
      </c>
    </row>
    <row r="13" spans="1:10">
      <c r="A13" s="3"/>
      <c r="B13" s="13">
        <v>9</v>
      </c>
      <c r="C13" s="2"/>
      <c r="D13" s="12"/>
      <c r="E13" s="26"/>
      <c r="F13" s="12"/>
      <c r="G13" s="10">
        <f t="shared" si="0"/>
        <v>0</v>
      </c>
      <c r="H13" s="11"/>
      <c r="I13" s="10">
        <f t="shared" si="1"/>
        <v>0</v>
      </c>
      <c r="J13" s="28" t="str">
        <f t="shared" si="2"/>
        <v/>
      </c>
    </row>
    <row r="14" spans="1:10">
      <c r="A14" s="3"/>
      <c r="B14" s="13">
        <v>10</v>
      </c>
      <c r="C14" s="2"/>
      <c r="D14" s="12"/>
      <c r="E14" s="26"/>
      <c r="F14" s="12"/>
      <c r="G14" s="10">
        <f t="shared" si="0"/>
        <v>0</v>
      </c>
      <c r="H14" s="11"/>
      <c r="I14" s="10">
        <f t="shared" si="1"/>
        <v>0</v>
      </c>
      <c r="J14" s="28" t="str">
        <f t="shared" si="2"/>
        <v/>
      </c>
    </row>
    <row r="15" spans="1:10">
      <c r="A15" s="3"/>
      <c r="B15" s="13">
        <v>11</v>
      </c>
      <c r="C15" s="2"/>
      <c r="D15" s="12"/>
      <c r="E15" s="26"/>
      <c r="F15" s="12"/>
      <c r="G15" s="10">
        <f t="shared" si="0"/>
        <v>0</v>
      </c>
      <c r="H15" s="11"/>
      <c r="I15" s="10">
        <f t="shared" si="1"/>
        <v>0</v>
      </c>
      <c r="J15" s="28" t="str">
        <f t="shared" si="2"/>
        <v/>
      </c>
    </row>
    <row r="16" spans="1:10">
      <c r="A16" s="3"/>
      <c r="B16" s="13">
        <v>12</v>
      </c>
      <c r="C16" s="2"/>
      <c r="D16" s="12"/>
      <c r="E16" s="26"/>
      <c r="F16" s="12"/>
      <c r="G16" s="10">
        <f t="shared" si="0"/>
        <v>0</v>
      </c>
      <c r="H16" s="11"/>
      <c r="I16" s="10">
        <f t="shared" si="1"/>
        <v>0</v>
      </c>
      <c r="J16" s="28" t="str">
        <f t="shared" si="2"/>
        <v/>
      </c>
    </row>
    <row r="17" spans="1:10">
      <c r="A17" s="3"/>
      <c r="B17" s="13">
        <v>13</v>
      </c>
      <c r="C17" s="2"/>
      <c r="D17" s="12"/>
      <c r="E17" s="26"/>
      <c r="F17" s="12"/>
      <c r="G17" s="10">
        <f t="shared" si="0"/>
        <v>0</v>
      </c>
      <c r="H17" s="11"/>
      <c r="I17" s="10">
        <f t="shared" si="1"/>
        <v>0</v>
      </c>
      <c r="J17" s="28" t="str">
        <f t="shared" si="2"/>
        <v/>
      </c>
    </row>
    <row r="18" spans="1:10">
      <c r="A18" s="3"/>
      <c r="B18" s="13">
        <v>14</v>
      </c>
      <c r="C18" s="2"/>
      <c r="D18" s="12"/>
      <c r="E18" s="26"/>
      <c r="F18" s="12"/>
      <c r="G18" s="10">
        <f t="shared" si="0"/>
        <v>0</v>
      </c>
      <c r="H18" s="11"/>
      <c r="I18" s="10">
        <f t="shared" si="1"/>
        <v>0</v>
      </c>
      <c r="J18" s="28" t="str">
        <f t="shared" si="2"/>
        <v/>
      </c>
    </row>
    <row r="19" spans="1:10">
      <c r="A19" s="3"/>
      <c r="B19" s="13">
        <v>15</v>
      </c>
      <c r="C19" s="2"/>
      <c r="D19" s="12"/>
      <c r="E19" s="26"/>
      <c r="F19" s="12"/>
      <c r="G19" s="10">
        <f t="shared" si="0"/>
        <v>0</v>
      </c>
      <c r="H19" s="11"/>
      <c r="I19" s="10">
        <f t="shared" si="1"/>
        <v>0</v>
      </c>
      <c r="J19" s="28" t="str">
        <f t="shared" si="2"/>
        <v/>
      </c>
    </row>
    <row r="20" spans="1:10">
      <c r="A20" s="3"/>
      <c r="B20" s="13">
        <v>16</v>
      </c>
      <c r="C20" s="2"/>
      <c r="D20" s="12"/>
      <c r="E20" s="26"/>
      <c r="F20" s="12"/>
      <c r="G20" s="10">
        <f t="shared" si="0"/>
        <v>0</v>
      </c>
      <c r="H20" s="11"/>
      <c r="I20" s="10">
        <f t="shared" si="1"/>
        <v>0</v>
      </c>
      <c r="J20" s="28" t="str">
        <f t="shared" si="2"/>
        <v/>
      </c>
    </row>
    <row r="21" spans="1:10">
      <c r="A21" s="3"/>
      <c r="B21" s="13">
        <v>17</v>
      </c>
      <c r="C21" s="2"/>
      <c r="D21" s="12"/>
      <c r="E21" s="26"/>
      <c r="F21" s="12"/>
      <c r="G21" s="10">
        <f t="shared" si="0"/>
        <v>0</v>
      </c>
      <c r="H21" s="11"/>
      <c r="I21" s="10">
        <f t="shared" si="1"/>
        <v>0</v>
      </c>
      <c r="J21" s="28" t="str">
        <f t="shared" si="2"/>
        <v/>
      </c>
    </row>
    <row r="22" spans="1:10">
      <c r="A22" s="3"/>
      <c r="B22" s="13">
        <v>18</v>
      </c>
      <c r="C22" s="2"/>
      <c r="D22" s="12"/>
      <c r="E22" s="26"/>
      <c r="F22" s="12"/>
      <c r="G22" s="10">
        <f t="shared" si="0"/>
        <v>0</v>
      </c>
      <c r="H22" s="11"/>
      <c r="I22" s="10">
        <f t="shared" si="1"/>
        <v>0</v>
      </c>
      <c r="J22" s="28" t="str">
        <f t="shared" si="2"/>
        <v/>
      </c>
    </row>
    <row r="23" spans="1:10">
      <c r="A23" s="3"/>
      <c r="B23" s="13">
        <v>19</v>
      </c>
      <c r="C23" s="2"/>
      <c r="D23" s="12"/>
      <c r="E23" s="26"/>
      <c r="F23" s="12"/>
      <c r="G23" s="10">
        <f t="shared" si="0"/>
        <v>0</v>
      </c>
      <c r="H23" s="11"/>
      <c r="I23" s="10">
        <f t="shared" si="1"/>
        <v>0</v>
      </c>
      <c r="J23" s="28" t="str">
        <f t="shared" si="2"/>
        <v/>
      </c>
    </row>
    <row r="24" spans="1:10">
      <c r="A24" s="3"/>
      <c r="B24" s="13">
        <v>20</v>
      </c>
      <c r="C24" s="2"/>
      <c r="D24" s="12"/>
      <c r="E24" s="26"/>
      <c r="F24" s="12"/>
      <c r="G24" s="10">
        <f t="shared" si="0"/>
        <v>0</v>
      </c>
      <c r="H24" s="11"/>
      <c r="I24" s="10">
        <f t="shared" si="1"/>
        <v>0</v>
      </c>
      <c r="J24" s="28" t="str">
        <f t="shared" si="2"/>
        <v/>
      </c>
    </row>
    <row r="25" spans="1:10">
      <c r="A25" s="3"/>
      <c r="B25" s="13">
        <v>21</v>
      </c>
      <c r="C25" s="2"/>
      <c r="D25" s="12"/>
      <c r="E25" s="26"/>
      <c r="F25" s="12"/>
      <c r="G25" s="10">
        <f t="shared" si="0"/>
        <v>0</v>
      </c>
      <c r="H25" s="11"/>
      <c r="I25" s="10">
        <f t="shared" si="1"/>
        <v>0</v>
      </c>
      <c r="J25" s="28" t="str">
        <f t="shared" si="2"/>
        <v/>
      </c>
    </row>
    <row r="26" spans="1:10">
      <c r="A26" s="3"/>
      <c r="B26" s="13">
        <v>22</v>
      </c>
      <c r="C26" s="2"/>
      <c r="D26" s="12"/>
      <c r="E26" s="26"/>
      <c r="F26" s="12"/>
      <c r="G26" s="10">
        <f t="shared" si="0"/>
        <v>0</v>
      </c>
      <c r="H26" s="11"/>
      <c r="I26" s="10">
        <f t="shared" si="1"/>
        <v>0</v>
      </c>
      <c r="J26" s="28" t="str">
        <f t="shared" si="2"/>
        <v/>
      </c>
    </row>
    <row r="27" spans="1:10">
      <c r="A27" s="3"/>
      <c r="B27" s="13">
        <v>23</v>
      </c>
      <c r="C27" s="2"/>
      <c r="D27" s="12"/>
      <c r="E27" s="26"/>
      <c r="F27" s="12"/>
      <c r="G27" s="10">
        <f t="shared" si="0"/>
        <v>0</v>
      </c>
      <c r="H27" s="11"/>
      <c r="I27" s="10">
        <f t="shared" si="1"/>
        <v>0</v>
      </c>
      <c r="J27" s="28" t="str">
        <f t="shared" si="2"/>
        <v/>
      </c>
    </row>
    <row r="28" spans="1:10">
      <c r="A28" s="3"/>
      <c r="B28" s="13">
        <v>24</v>
      </c>
      <c r="C28" s="2"/>
      <c r="D28" s="12"/>
      <c r="E28" s="26"/>
      <c r="F28" s="12"/>
      <c r="G28" s="10">
        <f t="shared" si="0"/>
        <v>0</v>
      </c>
      <c r="H28" s="11"/>
      <c r="I28" s="10">
        <f t="shared" si="1"/>
        <v>0</v>
      </c>
      <c r="J28" s="28" t="str">
        <f t="shared" si="2"/>
        <v/>
      </c>
    </row>
    <row r="29" spans="1:10">
      <c r="A29" s="3"/>
      <c r="B29" s="13">
        <v>25</v>
      </c>
      <c r="C29" s="2"/>
      <c r="D29" s="12"/>
      <c r="E29" s="26"/>
      <c r="F29" s="12"/>
      <c r="G29" s="10">
        <f t="shared" si="0"/>
        <v>0</v>
      </c>
      <c r="H29" s="11"/>
      <c r="I29" s="10">
        <f t="shared" si="1"/>
        <v>0</v>
      </c>
      <c r="J29" s="28" t="str">
        <f t="shared" si="2"/>
        <v/>
      </c>
    </row>
    <row r="30" spans="1:10">
      <c r="A30" s="3"/>
      <c r="B30" s="13">
        <v>26</v>
      </c>
      <c r="C30" s="2"/>
      <c r="D30" s="12"/>
      <c r="E30" s="26"/>
      <c r="F30" s="12"/>
      <c r="G30" s="10">
        <f t="shared" si="0"/>
        <v>0</v>
      </c>
      <c r="H30" s="11"/>
      <c r="I30" s="10">
        <f t="shared" si="1"/>
        <v>0</v>
      </c>
      <c r="J30" s="28" t="str">
        <f t="shared" si="2"/>
        <v/>
      </c>
    </row>
    <row r="31" spans="1:10">
      <c r="A31" s="3"/>
      <c r="B31" s="13">
        <v>27</v>
      </c>
      <c r="C31" s="2"/>
      <c r="D31" s="12"/>
      <c r="E31" s="26"/>
      <c r="F31" s="12"/>
      <c r="G31" s="10">
        <f t="shared" si="0"/>
        <v>0</v>
      </c>
      <c r="H31" s="11"/>
      <c r="I31" s="10">
        <f t="shared" si="1"/>
        <v>0</v>
      </c>
      <c r="J31" s="28" t="str">
        <f t="shared" si="2"/>
        <v/>
      </c>
    </row>
    <row r="32" spans="1:10">
      <c r="A32" s="3"/>
      <c r="B32" s="13">
        <v>28</v>
      </c>
      <c r="C32" s="2"/>
      <c r="D32" s="12"/>
      <c r="E32" s="26"/>
      <c r="F32" s="12"/>
      <c r="G32" s="10">
        <f t="shared" si="0"/>
        <v>0</v>
      </c>
      <c r="H32" s="11"/>
      <c r="I32" s="10">
        <f t="shared" si="1"/>
        <v>0</v>
      </c>
      <c r="J32" s="28" t="str">
        <f t="shared" si="2"/>
        <v/>
      </c>
    </row>
    <row r="33" spans="1:10">
      <c r="A33" s="3"/>
      <c r="B33" s="13">
        <v>29</v>
      </c>
      <c r="C33" s="2"/>
      <c r="D33" s="12"/>
      <c r="E33" s="26"/>
      <c r="F33" s="12"/>
      <c r="G33" s="10">
        <f t="shared" si="0"/>
        <v>0</v>
      </c>
      <c r="H33" s="11"/>
      <c r="I33" s="10">
        <f t="shared" si="1"/>
        <v>0</v>
      </c>
      <c r="J33" s="28" t="str">
        <f t="shared" si="2"/>
        <v/>
      </c>
    </row>
    <row r="34" spans="1:10">
      <c r="A34" s="3"/>
      <c r="B34" s="13">
        <v>30</v>
      </c>
      <c r="C34" s="2"/>
      <c r="D34" s="12"/>
      <c r="E34" s="26"/>
      <c r="F34" s="12"/>
      <c r="G34" s="10">
        <f t="shared" si="0"/>
        <v>0</v>
      </c>
      <c r="H34" s="11"/>
      <c r="I34" s="10">
        <f t="shared" si="1"/>
        <v>0</v>
      </c>
      <c r="J34" s="28" t="str">
        <f t="shared" si="2"/>
        <v/>
      </c>
    </row>
    <row r="35" spans="1:10">
      <c r="A35" s="3"/>
      <c r="B35" s="13">
        <v>31</v>
      </c>
      <c r="C35" s="2"/>
      <c r="D35" s="12"/>
      <c r="E35" s="26"/>
      <c r="F35" s="12"/>
      <c r="G35" s="10">
        <f t="shared" si="0"/>
        <v>0</v>
      </c>
      <c r="H35" s="11"/>
      <c r="I35" s="10">
        <f t="shared" si="1"/>
        <v>0</v>
      </c>
      <c r="J35" s="28" t="str">
        <f t="shared" si="2"/>
        <v/>
      </c>
    </row>
    <row r="36" spans="1:10">
      <c r="A36" s="3"/>
      <c r="B36" s="13">
        <v>32</v>
      </c>
      <c r="C36" s="2"/>
      <c r="D36" s="12"/>
      <c r="E36" s="26"/>
      <c r="F36" s="12"/>
      <c r="G36" s="10">
        <f t="shared" si="0"/>
        <v>0</v>
      </c>
      <c r="H36" s="11"/>
      <c r="I36" s="10">
        <f t="shared" si="1"/>
        <v>0</v>
      </c>
      <c r="J36" s="28" t="str">
        <f t="shared" si="2"/>
        <v/>
      </c>
    </row>
    <row r="37" spans="1:10">
      <c r="A37" s="3"/>
      <c r="B37" s="13">
        <v>33</v>
      </c>
      <c r="C37" s="2"/>
      <c r="D37" s="12"/>
      <c r="E37" s="26"/>
      <c r="F37" s="12"/>
      <c r="G37" s="10">
        <f t="shared" si="0"/>
        <v>0</v>
      </c>
      <c r="H37" s="11"/>
      <c r="I37" s="10">
        <f t="shared" si="1"/>
        <v>0</v>
      </c>
      <c r="J37" s="28" t="str">
        <f t="shared" si="2"/>
        <v/>
      </c>
    </row>
    <row r="38" spans="1:10">
      <c r="A38" s="3"/>
      <c r="B38" s="13">
        <v>34</v>
      </c>
      <c r="C38" s="2"/>
      <c r="D38" s="12"/>
      <c r="E38" s="26"/>
      <c r="F38" s="12"/>
      <c r="G38" s="10">
        <f t="shared" si="0"/>
        <v>0</v>
      </c>
      <c r="H38" s="11"/>
      <c r="I38" s="10">
        <f t="shared" si="1"/>
        <v>0</v>
      </c>
      <c r="J38" s="28" t="str">
        <f t="shared" si="2"/>
        <v/>
      </c>
    </row>
    <row r="39" spans="1:10">
      <c r="A39" s="3"/>
      <c r="B39" s="13">
        <v>35</v>
      </c>
      <c r="C39" s="2"/>
      <c r="D39" s="12"/>
      <c r="E39" s="26"/>
      <c r="F39" s="12"/>
      <c r="G39" s="10">
        <f t="shared" si="0"/>
        <v>0</v>
      </c>
      <c r="H39" s="11"/>
      <c r="I39" s="10">
        <f t="shared" si="1"/>
        <v>0</v>
      </c>
      <c r="J39" s="28" t="str">
        <f t="shared" si="2"/>
        <v/>
      </c>
    </row>
    <row r="40" spans="1:10">
      <c r="A40" s="3"/>
      <c r="B40" s="13">
        <v>36</v>
      </c>
      <c r="C40" s="2"/>
      <c r="D40" s="12"/>
      <c r="E40" s="26"/>
      <c r="F40" s="12"/>
      <c r="G40" s="10">
        <f t="shared" si="0"/>
        <v>0</v>
      </c>
      <c r="H40" s="11"/>
      <c r="I40" s="10">
        <f t="shared" si="1"/>
        <v>0</v>
      </c>
      <c r="J40" s="28" t="str">
        <f t="shared" si="2"/>
        <v/>
      </c>
    </row>
    <row r="41" spans="1:10">
      <c r="A41" s="14"/>
      <c r="B41" s="14"/>
      <c r="C41" s="14"/>
      <c r="D41" s="16"/>
      <c r="E41" s="19">
        <f>COUNTA(E5:E40)</f>
        <v>0</v>
      </c>
      <c r="F41" s="19">
        <f>COUNTA(F5:F40)</f>
        <v>0</v>
      </c>
      <c r="G41" s="19"/>
      <c r="H41" s="19">
        <f>COUNTA(H5:H40)</f>
        <v>0</v>
      </c>
      <c r="I41" s="16"/>
      <c r="J41" s="14"/>
    </row>
    <row r="42" spans="1:10">
      <c r="A42" s="14"/>
      <c r="B42" s="14"/>
      <c r="C42" s="14"/>
      <c r="D42" s="14"/>
      <c r="E42" s="14"/>
      <c r="F42" s="14"/>
      <c r="G42" s="14"/>
      <c r="H42" s="14"/>
      <c r="I42" s="14"/>
      <c r="J42" s="14"/>
    </row>
    <row r="43" spans="1:10" ht="22.5">
      <c r="A43" s="14"/>
      <c r="B43" s="14"/>
      <c r="C43" s="20" t="s">
        <v>15</v>
      </c>
      <c r="D43" s="21" t="s">
        <v>11</v>
      </c>
      <c r="E43" s="21"/>
      <c r="F43" s="22"/>
      <c r="G43" s="22"/>
      <c r="H43" s="21" t="s">
        <v>12</v>
      </c>
      <c r="I43" s="17"/>
      <c r="J43" s="14"/>
    </row>
    <row r="44" spans="1:10" ht="21">
      <c r="A44" s="14"/>
      <c r="B44" s="14"/>
      <c r="C44" s="23">
        <f>MAX(I5:I40)</f>
        <v>0</v>
      </c>
      <c r="D44" s="6" t="s">
        <v>8</v>
      </c>
      <c r="E44" s="7">
        <f>COUNTIF(E5:E40,"&gt;=10")</f>
        <v>0</v>
      </c>
      <c r="F44" s="14"/>
      <c r="G44" s="14"/>
      <c r="H44" s="8" t="s">
        <v>8</v>
      </c>
      <c r="I44" s="7">
        <f>COUNTIF(H5:H40,"&gt;=10")</f>
        <v>0</v>
      </c>
      <c r="J44" s="14"/>
    </row>
    <row r="45" spans="1:10" ht="21">
      <c r="A45" s="14"/>
      <c r="B45" s="14"/>
      <c r="C45" s="14"/>
      <c r="D45" s="7" t="s">
        <v>9</v>
      </c>
      <c r="E45" s="24" t="e">
        <f>E44*100/E41</f>
        <v>#DIV/0!</v>
      </c>
      <c r="F45" s="14"/>
      <c r="G45" s="14"/>
      <c r="H45" s="7" t="s">
        <v>9</v>
      </c>
      <c r="I45" s="9" t="e">
        <f>I44*100/H41</f>
        <v>#DIV/0!</v>
      </c>
      <c r="J45" s="14"/>
    </row>
    <row r="46" spans="1:10">
      <c r="A46" s="14"/>
      <c r="B46" s="14"/>
      <c r="C46" s="14"/>
      <c r="D46" s="14"/>
      <c r="E46" s="14"/>
      <c r="F46" s="14"/>
      <c r="G46" s="14"/>
      <c r="H46" s="14"/>
      <c r="I46" s="14"/>
      <c r="J46" s="14"/>
    </row>
    <row r="47" spans="1:10" ht="22.5">
      <c r="A47" s="14"/>
      <c r="B47" s="14"/>
      <c r="C47" s="20" t="s">
        <v>14</v>
      </c>
      <c r="D47" s="21" t="s">
        <v>10</v>
      </c>
      <c r="E47" s="21"/>
      <c r="F47" s="22"/>
      <c r="G47" s="22"/>
      <c r="H47" s="21" t="s">
        <v>13</v>
      </c>
      <c r="I47" s="17"/>
      <c r="J47" s="14"/>
    </row>
    <row r="48" spans="1:10" ht="21">
      <c r="A48" s="14"/>
      <c r="B48" s="14"/>
      <c r="C48" s="18">
        <f t="array" ref="C48">MIN(IF(I5:I40&gt;0,I5:I40))</f>
        <v>0</v>
      </c>
      <c r="D48" s="6" t="s">
        <v>8</v>
      </c>
      <c r="E48" s="7">
        <f>COUNTIF(F5:F40,"&gt;=10")</f>
        <v>0</v>
      </c>
      <c r="F48" s="14"/>
      <c r="G48" s="14"/>
      <c r="H48" s="8" t="s">
        <v>8</v>
      </c>
      <c r="I48" s="7">
        <f>COUNTIF(I5:I40,"&gt;=10")</f>
        <v>0</v>
      </c>
      <c r="J48" s="14"/>
    </row>
    <row r="49" spans="1:10" ht="21">
      <c r="A49" s="14"/>
      <c r="B49" s="14"/>
      <c r="C49" s="14"/>
      <c r="D49" s="7" t="s">
        <v>9</v>
      </c>
      <c r="E49" s="7" t="e">
        <f>E48*100/F41</f>
        <v>#DIV/0!</v>
      </c>
      <c r="F49" s="14"/>
      <c r="G49" s="14"/>
      <c r="H49" s="7" t="s">
        <v>9</v>
      </c>
      <c r="I49" s="9" t="e">
        <f>I48*100/H41</f>
        <v>#DIV/0!</v>
      </c>
      <c r="J49" s="14"/>
    </row>
    <row r="50" spans="1:10">
      <c r="A50" s="14"/>
      <c r="B50" s="14"/>
      <c r="C50" s="14"/>
      <c r="D50" s="14"/>
      <c r="E50" s="14"/>
      <c r="F50" s="14"/>
      <c r="G50" s="14"/>
      <c r="H50" s="14"/>
      <c r="I50" s="14"/>
      <c r="J50" s="14"/>
    </row>
    <row r="51" spans="1:10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0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10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0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0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0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0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0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10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0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>
      <c r="A100" s="3"/>
      <c r="B100" s="3"/>
      <c r="C100" s="3"/>
      <c r="D100" s="3"/>
      <c r="E100" s="3"/>
      <c r="F100" s="3"/>
      <c r="G100" s="3"/>
      <c r="H100" s="3"/>
      <c r="I100" s="3"/>
      <c r="J100" s="3"/>
    </row>
    <row r="101" spans="1:10">
      <c r="A101" s="3"/>
      <c r="B101" s="3"/>
      <c r="C101" s="3"/>
      <c r="D101" s="3"/>
      <c r="E101" s="3"/>
      <c r="F101" s="3"/>
      <c r="G101" s="3"/>
      <c r="H101" s="3"/>
      <c r="I101" s="3"/>
      <c r="J101" s="3"/>
    </row>
    <row r="102" spans="1:10">
      <c r="A102" s="3"/>
      <c r="B102" s="3"/>
      <c r="C102" s="3"/>
      <c r="D102" s="3"/>
      <c r="E102" s="3"/>
      <c r="F102" s="3"/>
      <c r="G102" s="3"/>
      <c r="H102" s="3"/>
      <c r="I102" s="3"/>
      <c r="J102" s="3"/>
    </row>
    <row r="103" spans="1:10">
      <c r="A103" s="3"/>
      <c r="B103" s="3"/>
      <c r="C103" s="3"/>
      <c r="D103" s="3"/>
      <c r="E103" s="3"/>
      <c r="F103" s="3"/>
      <c r="G103" s="3"/>
      <c r="H103" s="3"/>
      <c r="I103" s="3"/>
      <c r="J103" s="3"/>
    </row>
  </sheetData>
  <sheetProtection sheet="1" objects="1" scenarios="1" selectLockedCells="1" sort="0"/>
  <mergeCells count="1">
    <mergeCell ref="E2:G2"/>
  </mergeCells>
  <conditionalFormatting sqref="I5:I40">
    <cfRule type="cellIs" dxfId="29" priority="10" operator="lessThan">
      <formula>10</formula>
    </cfRule>
  </conditionalFormatting>
  <conditionalFormatting sqref="I5:I40">
    <cfRule type="cellIs" dxfId="28" priority="9" operator="equal">
      <formula>0</formula>
    </cfRule>
  </conditionalFormatting>
  <conditionalFormatting sqref="H5:H40">
    <cfRule type="cellIs" dxfId="27" priority="8" operator="lessThan">
      <formula>10</formula>
    </cfRule>
  </conditionalFormatting>
  <conditionalFormatting sqref="H5:H40">
    <cfRule type="containsBlanks" dxfId="26" priority="7">
      <formula>LEN(TRIM(H5))=0</formula>
    </cfRule>
  </conditionalFormatting>
  <conditionalFormatting sqref="E45">
    <cfRule type="cellIs" dxfId="25" priority="6" operator="lessThan">
      <formula>50</formula>
    </cfRule>
  </conditionalFormatting>
  <conditionalFormatting sqref="I45">
    <cfRule type="cellIs" dxfId="24" priority="5" operator="lessThan">
      <formula>50</formula>
    </cfRule>
  </conditionalFormatting>
  <conditionalFormatting sqref="E49">
    <cfRule type="cellIs" dxfId="23" priority="4" operator="lessThan">
      <formula>50</formula>
    </cfRule>
  </conditionalFormatting>
  <conditionalFormatting sqref="I49">
    <cfRule type="cellIs" dxfId="22" priority="2" operator="lessThan">
      <formula>50</formula>
    </cfRule>
    <cfRule type="cellIs" dxfId="21" priority="3" operator="lessThan">
      <formula>50</formula>
    </cfRule>
  </conditionalFormatting>
  <conditionalFormatting sqref="D5:F40">
    <cfRule type="cellIs" dxfId="20" priority="1" operator="lessThan">
      <formula>10</formula>
    </cfRule>
  </conditionalFormatting>
  <pageMargins left="0.23622047244094491" right="0.23622047244094491" top="0.74803149606299213" bottom="0.19685039370078741" header="0.31496062992125984" footer="0.31496062992125984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03"/>
  <sheetViews>
    <sheetView showGridLines="0" rightToLeft="1" zoomScale="130" zoomScaleNormal="130" zoomScaleSheetLayoutView="130" workbookViewId="0">
      <selection activeCell="F6" sqref="F6"/>
    </sheetView>
  </sheetViews>
  <sheetFormatPr baseColWidth="10" defaultColWidth="9.140625" defaultRowHeight="15"/>
  <cols>
    <col min="1" max="1" width="1.42578125" customWidth="1"/>
    <col min="2" max="2" width="4" customWidth="1"/>
    <col min="3" max="3" width="21.5703125" customWidth="1"/>
    <col min="4" max="4" width="8" customWidth="1"/>
    <col min="5" max="6" width="7.42578125" customWidth="1"/>
    <col min="7" max="7" width="7.5703125" customWidth="1"/>
    <col min="8" max="8" width="7.28515625" customWidth="1"/>
    <col min="9" max="9" width="9.5703125" customWidth="1"/>
    <col min="10" max="10" width="22.28515625" customWidth="1"/>
    <col min="11" max="11" width="7.7109375" customWidth="1"/>
    <col min="14" max="14" width="9.140625" customWidth="1"/>
  </cols>
  <sheetData>
    <row r="1" spans="1:10">
      <c r="A1" s="3"/>
      <c r="B1" s="14"/>
      <c r="C1" s="14"/>
      <c r="D1" s="14"/>
      <c r="E1" s="14"/>
      <c r="F1" s="14"/>
      <c r="G1" s="14"/>
      <c r="H1" s="14"/>
      <c r="I1" s="14"/>
      <c r="J1" s="14"/>
    </row>
    <row r="2" spans="1:10">
      <c r="A2" s="3"/>
      <c r="B2" s="14" t="s">
        <v>0</v>
      </c>
      <c r="C2" s="1"/>
      <c r="D2" s="14"/>
      <c r="E2" s="30" t="s">
        <v>2</v>
      </c>
      <c r="F2" s="30"/>
      <c r="G2" s="30"/>
      <c r="H2" s="14"/>
      <c r="I2" s="15" t="s">
        <v>1</v>
      </c>
      <c r="J2" s="1"/>
    </row>
    <row r="3" spans="1:10">
      <c r="A3" s="3"/>
      <c r="B3" s="14"/>
      <c r="C3" s="14"/>
      <c r="D3" s="14"/>
      <c r="E3" s="14"/>
      <c r="F3" s="14"/>
      <c r="G3" s="14"/>
      <c r="H3" s="14"/>
      <c r="I3" s="14"/>
      <c r="J3" s="14"/>
    </row>
    <row r="4" spans="1:10" ht="23.25">
      <c r="A4" s="3"/>
      <c r="B4" s="4" t="s">
        <v>17</v>
      </c>
      <c r="C4" s="5" t="s">
        <v>3</v>
      </c>
      <c r="D4" s="5" t="s">
        <v>16</v>
      </c>
      <c r="E4" s="27" t="s">
        <v>5</v>
      </c>
      <c r="F4" s="4" t="s">
        <v>7</v>
      </c>
      <c r="G4" s="25" t="s">
        <v>19</v>
      </c>
      <c r="H4" s="5" t="s">
        <v>4</v>
      </c>
      <c r="I4" s="4" t="s">
        <v>6</v>
      </c>
      <c r="J4" s="4" t="s">
        <v>18</v>
      </c>
    </row>
    <row r="5" spans="1:10">
      <c r="A5" s="3"/>
      <c r="B5" s="13">
        <v>1</v>
      </c>
      <c r="C5" s="2"/>
      <c r="D5" s="12"/>
      <c r="E5" s="26"/>
      <c r="F5" s="12"/>
      <c r="G5" s="10">
        <f>F5+D5</f>
        <v>0</v>
      </c>
      <c r="H5" s="11"/>
      <c r="I5" s="10">
        <f>((H5*3)+(G5))/5</f>
        <v>0</v>
      </c>
      <c r="J5" s="28" t="str">
        <f>IF(I5&gt;=16,"عمل ممتاز واصل بهذا النشاط",IF(I5&gt;=14,"تشكر على مجهوداتك ,واصل ",IF(I5&gt;=12,"عمل جيد يمكنك تحقيق الأفضل ",IF(I5&gt;=10,"عمل حسن كثف مجهودك ",IF(I5&gt;=9,"لا تيأس وحسِن مستواك  ",IF(I5&gt;=0.1," راجع دروسك واهتم أكثر",IF(I5=0,"      ","bad")))))))</f>
        <v/>
      </c>
    </row>
    <row r="6" spans="1:10">
      <c r="A6" s="3"/>
      <c r="B6" s="13">
        <v>2</v>
      </c>
      <c r="C6" s="2"/>
      <c r="D6" s="12"/>
      <c r="E6" s="26"/>
      <c r="F6" s="12"/>
      <c r="G6" s="10">
        <f t="shared" ref="G6:G40" si="0">F6+D6</f>
        <v>0</v>
      </c>
      <c r="H6" s="11"/>
      <c r="I6" s="10">
        <f t="shared" ref="I6:I40" si="1">((H6*3)+(G6))/5</f>
        <v>0</v>
      </c>
      <c r="J6" s="28" t="str">
        <f t="shared" ref="J6:J40" si="2">IF(I6&gt;=16,"عمل ممتاز واصل بهذا النشاط",IF(I6&gt;=14,"تشكر على مجهوداتك ,واصل ",IF(I6&gt;=12,"عمل جيد يمكنك تحقيق الأفضل ",IF(I6&gt;=10,"عمل حسن كثف مجهودك ",IF(I6&gt;=9,"لا تيأس وحسِن مستواك  ",IF(I6&gt;=0.1," راجع دروسك واهتم أكثر",IF(I6=0,"      ","bad")))))))</f>
        <v/>
      </c>
    </row>
    <row r="7" spans="1:10">
      <c r="A7" s="3"/>
      <c r="B7" s="13">
        <v>3</v>
      </c>
      <c r="C7" s="2"/>
      <c r="D7" s="12"/>
      <c r="E7" s="26"/>
      <c r="F7" s="12"/>
      <c r="G7" s="10">
        <f t="shared" si="0"/>
        <v>0</v>
      </c>
      <c r="H7" s="11"/>
      <c r="I7" s="10">
        <f t="shared" si="1"/>
        <v>0</v>
      </c>
      <c r="J7" s="28" t="str">
        <f t="shared" si="2"/>
        <v/>
      </c>
    </row>
    <row r="8" spans="1:10">
      <c r="A8" s="3"/>
      <c r="B8" s="13">
        <v>4</v>
      </c>
      <c r="C8" s="2"/>
      <c r="D8" s="12"/>
      <c r="E8" s="26"/>
      <c r="F8" s="12"/>
      <c r="G8" s="10">
        <f t="shared" si="0"/>
        <v>0</v>
      </c>
      <c r="H8" s="11"/>
      <c r="I8" s="10">
        <f t="shared" si="1"/>
        <v>0</v>
      </c>
      <c r="J8" s="28" t="str">
        <f t="shared" si="2"/>
        <v/>
      </c>
    </row>
    <row r="9" spans="1:10">
      <c r="A9" s="3"/>
      <c r="B9" s="13">
        <v>5</v>
      </c>
      <c r="C9" s="2"/>
      <c r="D9" s="12"/>
      <c r="E9" s="26"/>
      <c r="F9" s="12"/>
      <c r="G9" s="10">
        <f t="shared" si="0"/>
        <v>0</v>
      </c>
      <c r="H9" s="11"/>
      <c r="I9" s="10">
        <f t="shared" si="1"/>
        <v>0</v>
      </c>
      <c r="J9" s="28" t="str">
        <f t="shared" si="2"/>
        <v/>
      </c>
    </row>
    <row r="10" spans="1:10">
      <c r="A10" s="3"/>
      <c r="B10" s="13">
        <v>6</v>
      </c>
      <c r="C10" s="2"/>
      <c r="D10" s="12"/>
      <c r="E10" s="26"/>
      <c r="F10" s="12"/>
      <c r="G10" s="10">
        <f t="shared" si="0"/>
        <v>0</v>
      </c>
      <c r="H10" s="11"/>
      <c r="I10" s="10">
        <f t="shared" si="1"/>
        <v>0</v>
      </c>
      <c r="J10" s="28" t="str">
        <f t="shared" si="2"/>
        <v/>
      </c>
    </row>
    <row r="11" spans="1:10">
      <c r="A11" s="3"/>
      <c r="B11" s="13">
        <v>7</v>
      </c>
      <c r="C11" s="2"/>
      <c r="D11" s="12"/>
      <c r="E11" s="26"/>
      <c r="F11" s="12"/>
      <c r="G11" s="10">
        <f t="shared" si="0"/>
        <v>0</v>
      </c>
      <c r="H11" s="11"/>
      <c r="I11" s="10">
        <f t="shared" si="1"/>
        <v>0</v>
      </c>
      <c r="J11" s="28" t="str">
        <f t="shared" si="2"/>
        <v/>
      </c>
    </row>
    <row r="12" spans="1:10">
      <c r="A12" s="3"/>
      <c r="B12" s="13">
        <v>8</v>
      </c>
      <c r="C12" s="2"/>
      <c r="D12" s="12"/>
      <c r="E12" s="26"/>
      <c r="F12" s="12"/>
      <c r="G12" s="10">
        <f t="shared" si="0"/>
        <v>0</v>
      </c>
      <c r="H12" s="11"/>
      <c r="I12" s="10">
        <f t="shared" si="1"/>
        <v>0</v>
      </c>
      <c r="J12" s="28" t="str">
        <f t="shared" si="2"/>
        <v/>
      </c>
    </row>
    <row r="13" spans="1:10">
      <c r="A13" s="3"/>
      <c r="B13" s="13">
        <v>9</v>
      </c>
      <c r="C13" s="2"/>
      <c r="D13" s="12"/>
      <c r="E13" s="26"/>
      <c r="F13" s="12"/>
      <c r="G13" s="10">
        <f t="shared" si="0"/>
        <v>0</v>
      </c>
      <c r="H13" s="11"/>
      <c r="I13" s="10">
        <f t="shared" si="1"/>
        <v>0</v>
      </c>
      <c r="J13" s="28" t="str">
        <f t="shared" si="2"/>
        <v/>
      </c>
    </row>
    <row r="14" spans="1:10">
      <c r="A14" s="3"/>
      <c r="B14" s="13">
        <v>10</v>
      </c>
      <c r="C14" s="2"/>
      <c r="D14" s="12"/>
      <c r="E14" s="26"/>
      <c r="F14" s="12"/>
      <c r="G14" s="10">
        <f t="shared" si="0"/>
        <v>0</v>
      </c>
      <c r="H14" s="11"/>
      <c r="I14" s="10">
        <f t="shared" si="1"/>
        <v>0</v>
      </c>
      <c r="J14" s="28" t="str">
        <f t="shared" si="2"/>
        <v/>
      </c>
    </row>
    <row r="15" spans="1:10">
      <c r="A15" s="3"/>
      <c r="B15" s="13">
        <v>11</v>
      </c>
      <c r="C15" s="2"/>
      <c r="D15" s="12"/>
      <c r="E15" s="26"/>
      <c r="F15" s="12"/>
      <c r="G15" s="10">
        <f t="shared" si="0"/>
        <v>0</v>
      </c>
      <c r="H15" s="11"/>
      <c r="I15" s="10">
        <f t="shared" si="1"/>
        <v>0</v>
      </c>
      <c r="J15" s="28" t="str">
        <f t="shared" si="2"/>
        <v/>
      </c>
    </row>
    <row r="16" spans="1:10">
      <c r="A16" s="3"/>
      <c r="B16" s="13">
        <v>12</v>
      </c>
      <c r="C16" s="2"/>
      <c r="D16" s="12"/>
      <c r="E16" s="26"/>
      <c r="F16" s="12"/>
      <c r="G16" s="10">
        <f t="shared" si="0"/>
        <v>0</v>
      </c>
      <c r="H16" s="11"/>
      <c r="I16" s="10">
        <f t="shared" si="1"/>
        <v>0</v>
      </c>
      <c r="J16" s="28" t="str">
        <f t="shared" si="2"/>
        <v/>
      </c>
    </row>
    <row r="17" spans="1:10">
      <c r="A17" s="3"/>
      <c r="B17" s="13">
        <v>13</v>
      </c>
      <c r="C17" s="2"/>
      <c r="D17" s="12"/>
      <c r="E17" s="26"/>
      <c r="F17" s="12"/>
      <c r="G17" s="10">
        <f t="shared" si="0"/>
        <v>0</v>
      </c>
      <c r="H17" s="11"/>
      <c r="I17" s="10">
        <f t="shared" si="1"/>
        <v>0</v>
      </c>
      <c r="J17" s="28" t="str">
        <f t="shared" si="2"/>
        <v/>
      </c>
    </row>
    <row r="18" spans="1:10">
      <c r="A18" s="3"/>
      <c r="B18" s="13">
        <v>14</v>
      </c>
      <c r="C18" s="2"/>
      <c r="D18" s="12"/>
      <c r="E18" s="26"/>
      <c r="F18" s="12"/>
      <c r="G18" s="10">
        <f t="shared" si="0"/>
        <v>0</v>
      </c>
      <c r="H18" s="11"/>
      <c r="I18" s="10">
        <f t="shared" si="1"/>
        <v>0</v>
      </c>
      <c r="J18" s="28" t="str">
        <f t="shared" si="2"/>
        <v/>
      </c>
    </row>
    <row r="19" spans="1:10">
      <c r="A19" s="3"/>
      <c r="B19" s="13">
        <v>15</v>
      </c>
      <c r="C19" s="2"/>
      <c r="D19" s="12"/>
      <c r="E19" s="26"/>
      <c r="F19" s="12"/>
      <c r="G19" s="10">
        <f t="shared" si="0"/>
        <v>0</v>
      </c>
      <c r="H19" s="11"/>
      <c r="I19" s="10">
        <f t="shared" si="1"/>
        <v>0</v>
      </c>
      <c r="J19" s="28" t="str">
        <f t="shared" si="2"/>
        <v/>
      </c>
    </row>
    <row r="20" spans="1:10">
      <c r="A20" s="3"/>
      <c r="B20" s="13">
        <v>16</v>
      </c>
      <c r="C20" s="2"/>
      <c r="D20" s="12"/>
      <c r="E20" s="26"/>
      <c r="F20" s="12"/>
      <c r="G20" s="10">
        <f t="shared" si="0"/>
        <v>0</v>
      </c>
      <c r="H20" s="11"/>
      <c r="I20" s="10">
        <f t="shared" si="1"/>
        <v>0</v>
      </c>
      <c r="J20" s="28" t="str">
        <f t="shared" si="2"/>
        <v/>
      </c>
    </row>
    <row r="21" spans="1:10">
      <c r="A21" s="3"/>
      <c r="B21" s="13">
        <v>17</v>
      </c>
      <c r="C21" s="2"/>
      <c r="D21" s="12"/>
      <c r="E21" s="26"/>
      <c r="F21" s="12"/>
      <c r="G21" s="10">
        <f t="shared" si="0"/>
        <v>0</v>
      </c>
      <c r="H21" s="11"/>
      <c r="I21" s="10">
        <f t="shared" si="1"/>
        <v>0</v>
      </c>
      <c r="J21" s="28" t="str">
        <f t="shared" si="2"/>
        <v/>
      </c>
    </row>
    <row r="22" spans="1:10">
      <c r="A22" s="3"/>
      <c r="B22" s="13">
        <v>18</v>
      </c>
      <c r="C22" s="2"/>
      <c r="D22" s="12"/>
      <c r="E22" s="26"/>
      <c r="F22" s="12"/>
      <c r="G22" s="10">
        <f t="shared" si="0"/>
        <v>0</v>
      </c>
      <c r="H22" s="11"/>
      <c r="I22" s="10">
        <f t="shared" si="1"/>
        <v>0</v>
      </c>
      <c r="J22" s="28" t="str">
        <f t="shared" si="2"/>
        <v/>
      </c>
    </row>
    <row r="23" spans="1:10">
      <c r="A23" s="3"/>
      <c r="B23" s="13">
        <v>19</v>
      </c>
      <c r="C23" s="2"/>
      <c r="D23" s="12"/>
      <c r="E23" s="26"/>
      <c r="F23" s="12"/>
      <c r="G23" s="10">
        <f t="shared" si="0"/>
        <v>0</v>
      </c>
      <c r="H23" s="11"/>
      <c r="I23" s="10">
        <f t="shared" si="1"/>
        <v>0</v>
      </c>
      <c r="J23" s="28" t="str">
        <f t="shared" si="2"/>
        <v/>
      </c>
    </row>
    <row r="24" spans="1:10">
      <c r="A24" s="3"/>
      <c r="B24" s="13">
        <v>20</v>
      </c>
      <c r="C24" s="2"/>
      <c r="D24" s="12"/>
      <c r="E24" s="26"/>
      <c r="F24" s="12"/>
      <c r="G24" s="10">
        <f t="shared" si="0"/>
        <v>0</v>
      </c>
      <c r="H24" s="11"/>
      <c r="I24" s="10">
        <f t="shared" si="1"/>
        <v>0</v>
      </c>
      <c r="J24" s="28" t="str">
        <f t="shared" si="2"/>
        <v/>
      </c>
    </row>
    <row r="25" spans="1:10">
      <c r="A25" s="3"/>
      <c r="B25" s="13">
        <v>21</v>
      </c>
      <c r="C25" s="2"/>
      <c r="D25" s="12"/>
      <c r="E25" s="26"/>
      <c r="F25" s="12"/>
      <c r="G25" s="10">
        <f t="shared" si="0"/>
        <v>0</v>
      </c>
      <c r="H25" s="11"/>
      <c r="I25" s="10">
        <f t="shared" si="1"/>
        <v>0</v>
      </c>
      <c r="J25" s="28" t="str">
        <f t="shared" si="2"/>
        <v/>
      </c>
    </row>
    <row r="26" spans="1:10">
      <c r="A26" s="3"/>
      <c r="B26" s="13">
        <v>22</v>
      </c>
      <c r="C26" s="2"/>
      <c r="D26" s="12"/>
      <c r="E26" s="26"/>
      <c r="F26" s="12"/>
      <c r="G26" s="10">
        <f t="shared" si="0"/>
        <v>0</v>
      </c>
      <c r="H26" s="11"/>
      <c r="I26" s="10">
        <f t="shared" si="1"/>
        <v>0</v>
      </c>
      <c r="J26" s="28" t="str">
        <f t="shared" si="2"/>
        <v/>
      </c>
    </row>
    <row r="27" spans="1:10">
      <c r="A27" s="3"/>
      <c r="B27" s="13">
        <v>23</v>
      </c>
      <c r="C27" s="2"/>
      <c r="D27" s="12"/>
      <c r="E27" s="26"/>
      <c r="F27" s="12"/>
      <c r="G27" s="10">
        <f t="shared" si="0"/>
        <v>0</v>
      </c>
      <c r="H27" s="11"/>
      <c r="I27" s="10">
        <f t="shared" si="1"/>
        <v>0</v>
      </c>
      <c r="J27" s="28" t="str">
        <f t="shared" si="2"/>
        <v/>
      </c>
    </row>
    <row r="28" spans="1:10">
      <c r="A28" s="3"/>
      <c r="B28" s="13">
        <v>24</v>
      </c>
      <c r="C28" s="2"/>
      <c r="D28" s="12"/>
      <c r="E28" s="26"/>
      <c r="F28" s="12"/>
      <c r="G28" s="10">
        <f t="shared" si="0"/>
        <v>0</v>
      </c>
      <c r="H28" s="11"/>
      <c r="I28" s="10">
        <f t="shared" si="1"/>
        <v>0</v>
      </c>
      <c r="J28" s="28" t="str">
        <f t="shared" si="2"/>
        <v/>
      </c>
    </row>
    <row r="29" spans="1:10">
      <c r="A29" s="3"/>
      <c r="B29" s="13">
        <v>25</v>
      </c>
      <c r="C29" s="2"/>
      <c r="D29" s="12"/>
      <c r="E29" s="26"/>
      <c r="F29" s="12"/>
      <c r="G29" s="10">
        <f t="shared" si="0"/>
        <v>0</v>
      </c>
      <c r="H29" s="11"/>
      <c r="I29" s="10">
        <f t="shared" si="1"/>
        <v>0</v>
      </c>
      <c r="J29" s="28" t="str">
        <f t="shared" si="2"/>
        <v/>
      </c>
    </row>
    <row r="30" spans="1:10">
      <c r="A30" s="3"/>
      <c r="B30" s="13">
        <v>26</v>
      </c>
      <c r="C30" s="2"/>
      <c r="D30" s="12"/>
      <c r="E30" s="26"/>
      <c r="F30" s="12"/>
      <c r="G30" s="10">
        <f t="shared" si="0"/>
        <v>0</v>
      </c>
      <c r="H30" s="11"/>
      <c r="I30" s="10">
        <f t="shared" si="1"/>
        <v>0</v>
      </c>
      <c r="J30" s="28" t="str">
        <f t="shared" si="2"/>
        <v/>
      </c>
    </row>
    <row r="31" spans="1:10">
      <c r="A31" s="3"/>
      <c r="B31" s="13">
        <v>27</v>
      </c>
      <c r="C31" s="2"/>
      <c r="D31" s="12"/>
      <c r="E31" s="26"/>
      <c r="F31" s="12"/>
      <c r="G31" s="10">
        <f t="shared" si="0"/>
        <v>0</v>
      </c>
      <c r="H31" s="11"/>
      <c r="I31" s="10">
        <f t="shared" si="1"/>
        <v>0</v>
      </c>
      <c r="J31" s="28" t="str">
        <f t="shared" si="2"/>
        <v/>
      </c>
    </row>
    <row r="32" spans="1:10">
      <c r="A32" s="3"/>
      <c r="B32" s="13">
        <v>28</v>
      </c>
      <c r="C32" s="2"/>
      <c r="D32" s="12"/>
      <c r="E32" s="26"/>
      <c r="F32" s="12"/>
      <c r="G32" s="10">
        <f t="shared" si="0"/>
        <v>0</v>
      </c>
      <c r="H32" s="11"/>
      <c r="I32" s="10">
        <f t="shared" si="1"/>
        <v>0</v>
      </c>
      <c r="J32" s="28" t="str">
        <f t="shared" si="2"/>
        <v/>
      </c>
    </row>
    <row r="33" spans="1:10">
      <c r="A33" s="3"/>
      <c r="B33" s="13">
        <v>29</v>
      </c>
      <c r="C33" s="2"/>
      <c r="D33" s="12"/>
      <c r="E33" s="26"/>
      <c r="F33" s="12"/>
      <c r="G33" s="10">
        <f t="shared" si="0"/>
        <v>0</v>
      </c>
      <c r="H33" s="11"/>
      <c r="I33" s="10">
        <f t="shared" si="1"/>
        <v>0</v>
      </c>
      <c r="J33" s="28" t="str">
        <f t="shared" si="2"/>
        <v/>
      </c>
    </row>
    <row r="34" spans="1:10">
      <c r="A34" s="3"/>
      <c r="B34" s="13">
        <v>30</v>
      </c>
      <c r="C34" s="2"/>
      <c r="D34" s="12"/>
      <c r="E34" s="26"/>
      <c r="F34" s="12"/>
      <c r="G34" s="10">
        <f t="shared" si="0"/>
        <v>0</v>
      </c>
      <c r="H34" s="11"/>
      <c r="I34" s="10">
        <f t="shared" si="1"/>
        <v>0</v>
      </c>
      <c r="J34" s="28" t="str">
        <f t="shared" si="2"/>
        <v/>
      </c>
    </row>
    <row r="35" spans="1:10">
      <c r="A35" s="3"/>
      <c r="B35" s="13">
        <v>31</v>
      </c>
      <c r="C35" s="2"/>
      <c r="D35" s="12"/>
      <c r="E35" s="26"/>
      <c r="F35" s="12"/>
      <c r="G35" s="10">
        <f t="shared" si="0"/>
        <v>0</v>
      </c>
      <c r="H35" s="11"/>
      <c r="I35" s="10">
        <f t="shared" si="1"/>
        <v>0</v>
      </c>
      <c r="J35" s="28" t="str">
        <f t="shared" si="2"/>
        <v/>
      </c>
    </row>
    <row r="36" spans="1:10">
      <c r="A36" s="3"/>
      <c r="B36" s="13">
        <v>32</v>
      </c>
      <c r="C36" s="2"/>
      <c r="D36" s="12"/>
      <c r="E36" s="26"/>
      <c r="F36" s="12"/>
      <c r="G36" s="10">
        <f t="shared" si="0"/>
        <v>0</v>
      </c>
      <c r="H36" s="11"/>
      <c r="I36" s="10">
        <f t="shared" si="1"/>
        <v>0</v>
      </c>
      <c r="J36" s="28" t="str">
        <f t="shared" si="2"/>
        <v/>
      </c>
    </row>
    <row r="37" spans="1:10">
      <c r="A37" s="3"/>
      <c r="B37" s="13">
        <v>33</v>
      </c>
      <c r="C37" s="2"/>
      <c r="D37" s="12"/>
      <c r="E37" s="26"/>
      <c r="F37" s="12"/>
      <c r="G37" s="10">
        <f t="shared" si="0"/>
        <v>0</v>
      </c>
      <c r="H37" s="11"/>
      <c r="I37" s="10">
        <f t="shared" si="1"/>
        <v>0</v>
      </c>
      <c r="J37" s="28" t="str">
        <f t="shared" si="2"/>
        <v/>
      </c>
    </row>
    <row r="38" spans="1:10">
      <c r="A38" s="3"/>
      <c r="B38" s="13">
        <v>34</v>
      </c>
      <c r="C38" s="2"/>
      <c r="D38" s="12"/>
      <c r="E38" s="26"/>
      <c r="F38" s="12"/>
      <c r="G38" s="10">
        <f t="shared" si="0"/>
        <v>0</v>
      </c>
      <c r="H38" s="11"/>
      <c r="I38" s="10">
        <f t="shared" si="1"/>
        <v>0</v>
      </c>
      <c r="J38" s="28" t="str">
        <f t="shared" si="2"/>
        <v/>
      </c>
    </row>
    <row r="39" spans="1:10">
      <c r="A39" s="3"/>
      <c r="B39" s="13">
        <v>35</v>
      </c>
      <c r="C39" s="2"/>
      <c r="D39" s="12"/>
      <c r="E39" s="26"/>
      <c r="F39" s="12"/>
      <c r="G39" s="10">
        <f t="shared" si="0"/>
        <v>0</v>
      </c>
      <c r="H39" s="11"/>
      <c r="I39" s="10">
        <f t="shared" si="1"/>
        <v>0</v>
      </c>
      <c r="J39" s="28" t="str">
        <f t="shared" si="2"/>
        <v/>
      </c>
    </row>
    <row r="40" spans="1:10">
      <c r="A40" s="3"/>
      <c r="B40" s="13">
        <v>36</v>
      </c>
      <c r="C40" s="2"/>
      <c r="D40" s="12"/>
      <c r="E40" s="26"/>
      <c r="F40" s="12"/>
      <c r="G40" s="10">
        <f t="shared" si="0"/>
        <v>0</v>
      </c>
      <c r="H40" s="11"/>
      <c r="I40" s="10">
        <f t="shared" si="1"/>
        <v>0</v>
      </c>
      <c r="J40" s="28" t="str">
        <f t="shared" si="2"/>
        <v/>
      </c>
    </row>
    <row r="41" spans="1:10">
      <c r="A41" s="14"/>
      <c r="B41" s="14"/>
      <c r="C41" s="14"/>
      <c r="D41" s="16"/>
      <c r="E41" s="19">
        <f>COUNTA(E5:E40)</f>
        <v>0</v>
      </c>
      <c r="F41" s="19">
        <f>COUNTA(F5:F40)</f>
        <v>0</v>
      </c>
      <c r="G41" s="19"/>
      <c r="H41" s="19">
        <f>COUNTA(H5:H40)</f>
        <v>0</v>
      </c>
      <c r="I41" s="16"/>
      <c r="J41" s="14"/>
    </row>
    <row r="42" spans="1:10">
      <c r="A42" s="14"/>
      <c r="B42" s="14"/>
      <c r="C42" s="14"/>
      <c r="D42" s="14"/>
      <c r="E42" s="14"/>
      <c r="F42" s="14"/>
      <c r="G42" s="14"/>
      <c r="H42" s="14"/>
      <c r="I42" s="14"/>
      <c r="J42" s="14"/>
    </row>
    <row r="43" spans="1:10" ht="22.5">
      <c r="A43" s="14"/>
      <c r="B43" s="14"/>
      <c r="C43" s="20" t="s">
        <v>15</v>
      </c>
      <c r="D43" s="21" t="s">
        <v>11</v>
      </c>
      <c r="E43" s="21"/>
      <c r="F43" s="22"/>
      <c r="G43" s="22"/>
      <c r="H43" s="21" t="s">
        <v>12</v>
      </c>
      <c r="I43" s="17"/>
      <c r="J43" s="14"/>
    </row>
    <row r="44" spans="1:10" ht="21">
      <c r="A44" s="14"/>
      <c r="B44" s="14"/>
      <c r="C44" s="23">
        <f>MAX(I5:I40)</f>
        <v>0</v>
      </c>
      <c r="D44" s="6" t="s">
        <v>8</v>
      </c>
      <c r="E44" s="7">
        <f>COUNTIF(E5:E40,"&gt;=10")</f>
        <v>0</v>
      </c>
      <c r="F44" s="14"/>
      <c r="G44" s="14"/>
      <c r="H44" s="8" t="s">
        <v>8</v>
      </c>
      <c r="I44" s="7">
        <f>COUNTIF(H5:H40,"&gt;=10")</f>
        <v>0</v>
      </c>
      <c r="J44" s="14"/>
    </row>
    <row r="45" spans="1:10" ht="21">
      <c r="A45" s="14"/>
      <c r="B45" s="14"/>
      <c r="C45" s="14"/>
      <c r="D45" s="7" t="s">
        <v>9</v>
      </c>
      <c r="E45" s="24" t="e">
        <f>E44*100/E41</f>
        <v>#DIV/0!</v>
      </c>
      <c r="F45" s="14"/>
      <c r="G45" s="14"/>
      <c r="H45" s="7" t="s">
        <v>9</v>
      </c>
      <c r="I45" s="9" t="e">
        <f>I44*100/H41</f>
        <v>#DIV/0!</v>
      </c>
      <c r="J45" s="14"/>
    </row>
    <row r="46" spans="1:10">
      <c r="A46" s="14"/>
      <c r="B46" s="14"/>
      <c r="C46" s="14"/>
      <c r="D46" s="14"/>
      <c r="E46" s="14"/>
      <c r="F46" s="14"/>
      <c r="G46" s="14"/>
      <c r="H46" s="14"/>
      <c r="I46" s="14"/>
      <c r="J46" s="14"/>
    </row>
    <row r="47" spans="1:10" ht="22.5">
      <c r="A47" s="14"/>
      <c r="B47" s="14"/>
      <c r="C47" s="20" t="s">
        <v>14</v>
      </c>
      <c r="D47" s="21" t="s">
        <v>10</v>
      </c>
      <c r="E47" s="21"/>
      <c r="F47" s="22"/>
      <c r="G47" s="22"/>
      <c r="H47" s="21" t="s">
        <v>13</v>
      </c>
      <c r="I47" s="17"/>
      <c r="J47" s="14"/>
    </row>
    <row r="48" spans="1:10" ht="21">
      <c r="A48" s="14"/>
      <c r="B48" s="14"/>
      <c r="C48" s="18">
        <f t="array" ref="C48">MIN(IF(I5:I40&gt;0,I5:I40))</f>
        <v>0</v>
      </c>
      <c r="D48" s="6" t="s">
        <v>8</v>
      </c>
      <c r="E48" s="7">
        <f>COUNTIF(F5:F40,"&gt;=10")</f>
        <v>0</v>
      </c>
      <c r="F48" s="14"/>
      <c r="G48" s="14"/>
      <c r="H48" s="8" t="s">
        <v>8</v>
      </c>
      <c r="I48" s="7">
        <f>COUNTIF(I5:I40,"&gt;=10")</f>
        <v>0</v>
      </c>
      <c r="J48" s="14"/>
    </row>
    <row r="49" spans="1:10" ht="21">
      <c r="A49" s="14"/>
      <c r="B49" s="14"/>
      <c r="C49" s="14"/>
      <c r="D49" s="7" t="s">
        <v>9</v>
      </c>
      <c r="E49" s="7" t="e">
        <f>E48*100/F41</f>
        <v>#DIV/0!</v>
      </c>
      <c r="F49" s="14"/>
      <c r="G49" s="14"/>
      <c r="H49" s="7" t="s">
        <v>9</v>
      </c>
      <c r="I49" s="9" t="e">
        <f>I48*100/H41</f>
        <v>#DIV/0!</v>
      </c>
      <c r="J49" s="14"/>
    </row>
    <row r="50" spans="1:10">
      <c r="A50" s="14"/>
      <c r="B50" s="14"/>
      <c r="C50" s="14"/>
      <c r="D50" s="14"/>
      <c r="E50" s="14"/>
      <c r="F50" s="14"/>
      <c r="G50" s="14"/>
      <c r="H50" s="14"/>
      <c r="I50" s="14"/>
      <c r="J50" s="14"/>
    </row>
    <row r="51" spans="1:10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0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10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0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0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0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0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0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10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0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>
      <c r="A100" s="3"/>
      <c r="B100" s="3"/>
      <c r="C100" s="3"/>
      <c r="D100" s="3"/>
      <c r="E100" s="3"/>
      <c r="F100" s="3"/>
      <c r="G100" s="3"/>
      <c r="H100" s="3"/>
      <c r="I100" s="3"/>
      <c r="J100" s="3"/>
    </row>
    <row r="101" spans="1:10">
      <c r="A101" s="3"/>
      <c r="B101" s="3"/>
      <c r="C101" s="3"/>
      <c r="D101" s="3"/>
      <c r="E101" s="3"/>
      <c r="F101" s="3"/>
      <c r="G101" s="3"/>
      <c r="H101" s="3"/>
      <c r="I101" s="3"/>
      <c r="J101" s="3"/>
    </row>
    <row r="102" spans="1:10">
      <c r="A102" s="3"/>
      <c r="B102" s="3"/>
      <c r="C102" s="3"/>
      <c r="D102" s="3"/>
      <c r="E102" s="3"/>
      <c r="F102" s="3"/>
      <c r="G102" s="3"/>
      <c r="H102" s="3"/>
      <c r="I102" s="3"/>
      <c r="J102" s="3"/>
    </row>
    <row r="103" spans="1:10">
      <c r="A103" s="3"/>
      <c r="B103" s="3"/>
      <c r="C103" s="3"/>
      <c r="D103" s="3"/>
      <c r="E103" s="3"/>
      <c r="F103" s="3"/>
      <c r="G103" s="3"/>
      <c r="H103" s="3"/>
      <c r="I103" s="3"/>
      <c r="J103" s="3"/>
    </row>
  </sheetData>
  <sheetProtection sheet="1" objects="1" scenarios="1" selectLockedCells="1" sort="0"/>
  <mergeCells count="1">
    <mergeCell ref="E2:G2"/>
  </mergeCells>
  <conditionalFormatting sqref="I5:I40">
    <cfRule type="cellIs" dxfId="19" priority="10" operator="lessThan">
      <formula>10</formula>
    </cfRule>
  </conditionalFormatting>
  <conditionalFormatting sqref="I5:I40">
    <cfRule type="cellIs" dxfId="18" priority="9" operator="equal">
      <formula>0</formula>
    </cfRule>
  </conditionalFormatting>
  <conditionalFormatting sqref="H5:H40">
    <cfRule type="cellIs" dxfId="17" priority="8" operator="lessThan">
      <formula>10</formula>
    </cfRule>
  </conditionalFormatting>
  <conditionalFormatting sqref="H5:H40">
    <cfRule type="containsBlanks" dxfId="16" priority="7">
      <formula>LEN(TRIM(H5))=0</formula>
    </cfRule>
  </conditionalFormatting>
  <conditionalFormatting sqref="E45">
    <cfRule type="cellIs" dxfId="15" priority="6" operator="lessThan">
      <formula>50</formula>
    </cfRule>
  </conditionalFormatting>
  <conditionalFormatting sqref="I45">
    <cfRule type="cellIs" dxfId="14" priority="5" operator="lessThan">
      <formula>50</formula>
    </cfRule>
  </conditionalFormatting>
  <conditionalFormatting sqref="E49">
    <cfRule type="cellIs" dxfId="13" priority="4" operator="lessThan">
      <formula>50</formula>
    </cfRule>
  </conditionalFormatting>
  <conditionalFormatting sqref="I49">
    <cfRule type="cellIs" dxfId="12" priority="2" operator="lessThan">
      <formula>50</formula>
    </cfRule>
    <cfRule type="cellIs" dxfId="11" priority="3" operator="lessThan">
      <formula>50</formula>
    </cfRule>
  </conditionalFormatting>
  <conditionalFormatting sqref="D5:F40">
    <cfRule type="cellIs" dxfId="10" priority="1" operator="lessThan">
      <formula>10</formula>
    </cfRule>
  </conditionalFormatting>
  <pageMargins left="0.23622047244094491" right="0.23622047244094491" top="0.74803149606299213" bottom="0.19685039370078741" header="0.31496062992125984" footer="0.31496062992125984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03"/>
  <sheetViews>
    <sheetView showGridLines="0" rightToLeft="1" topLeftCell="A34" zoomScale="130" zoomScaleNormal="130" zoomScaleSheetLayoutView="130" workbookViewId="0">
      <selection activeCell="C35" sqref="C35"/>
    </sheetView>
  </sheetViews>
  <sheetFormatPr baseColWidth="10" defaultColWidth="9.140625" defaultRowHeight="15"/>
  <cols>
    <col min="1" max="1" width="1.42578125" customWidth="1"/>
    <col min="2" max="2" width="4" customWidth="1"/>
    <col min="3" max="3" width="21.5703125" customWidth="1"/>
    <col min="4" max="4" width="8" customWidth="1"/>
    <col min="5" max="6" width="7.42578125" customWidth="1"/>
    <col min="7" max="7" width="7.5703125" customWidth="1"/>
    <col min="8" max="8" width="7.28515625" customWidth="1"/>
    <col min="9" max="9" width="9.5703125" customWidth="1"/>
    <col min="10" max="10" width="22.28515625" customWidth="1"/>
    <col min="11" max="11" width="7.7109375" customWidth="1"/>
    <col min="14" max="14" width="9.140625" customWidth="1"/>
  </cols>
  <sheetData>
    <row r="1" spans="1:10">
      <c r="A1" s="3"/>
      <c r="B1" s="14"/>
      <c r="C1" s="14"/>
      <c r="D1" s="14"/>
      <c r="E1" s="14"/>
      <c r="F1" s="14"/>
      <c r="G1" s="14"/>
      <c r="H1" s="14"/>
      <c r="I1" s="14"/>
      <c r="J1" s="14"/>
    </row>
    <row r="2" spans="1:10">
      <c r="A2" s="3"/>
      <c r="B2" s="14" t="s">
        <v>0</v>
      </c>
      <c r="C2" s="1"/>
      <c r="D2" s="14"/>
      <c r="E2" s="30" t="s">
        <v>2</v>
      </c>
      <c r="F2" s="30"/>
      <c r="G2" s="30"/>
      <c r="H2" s="14"/>
      <c r="I2" s="15" t="s">
        <v>1</v>
      </c>
      <c r="J2" s="1"/>
    </row>
    <row r="3" spans="1:10">
      <c r="A3" s="3"/>
      <c r="B3" s="14"/>
      <c r="C3" s="14"/>
      <c r="D3" s="14"/>
      <c r="E3" s="14"/>
      <c r="F3" s="14"/>
      <c r="G3" s="14"/>
      <c r="H3" s="14"/>
      <c r="I3" s="14"/>
      <c r="J3" s="14"/>
    </row>
    <row r="4" spans="1:10" ht="23.25">
      <c r="A4" s="3"/>
      <c r="B4" s="4" t="s">
        <v>17</v>
      </c>
      <c r="C4" s="5" t="s">
        <v>3</v>
      </c>
      <c r="D4" s="5" t="s">
        <v>16</v>
      </c>
      <c r="E4" s="27" t="s">
        <v>5</v>
      </c>
      <c r="F4" s="4" t="s">
        <v>7</v>
      </c>
      <c r="G4" s="25" t="s">
        <v>19</v>
      </c>
      <c r="H4" s="5" t="s">
        <v>4</v>
      </c>
      <c r="I4" s="4" t="s">
        <v>6</v>
      </c>
      <c r="J4" s="4" t="s">
        <v>18</v>
      </c>
    </row>
    <row r="5" spans="1:10">
      <c r="A5" s="3"/>
      <c r="B5" s="13">
        <v>1</v>
      </c>
      <c r="C5" s="2"/>
      <c r="D5" s="12"/>
      <c r="E5" s="26"/>
      <c r="F5" s="12"/>
      <c r="G5" s="10">
        <f>F5+D5</f>
        <v>0</v>
      </c>
      <c r="H5" s="11"/>
      <c r="I5" s="10">
        <f>((H5*3)+(G5))/5</f>
        <v>0</v>
      </c>
      <c r="J5" s="28" t="str">
        <f>IF(I5&gt;=16,"عمل ممتاز واصل بهذا النشاط",IF(I5&gt;=14,"تشكر على مجهوداتك ,واصل ",IF(I5&gt;=12,"عمل جيد يمكنك تحقيق الأفضل ",IF(I5&gt;=10,"عمل حسن كثف مجهودك ",IF(I5&gt;=9,"لا تيأس وحسِن مستواك  ",IF(I5&gt;=0.1," راجع دروسك واهتم أكثر",IF(I5=0,"      ","bad")))))))</f>
        <v/>
      </c>
    </row>
    <row r="6" spans="1:10">
      <c r="A6" s="3"/>
      <c r="B6" s="13">
        <v>2</v>
      </c>
      <c r="C6" s="2"/>
      <c r="D6" s="12"/>
      <c r="E6" s="26"/>
      <c r="F6" s="12"/>
      <c r="G6" s="10">
        <f t="shared" ref="G6:G40" si="0">F6+D6</f>
        <v>0</v>
      </c>
      <c r="H6" s="11"/>
      <c r="I6" s="10">
        <f t="shared" ref="I6:I40" si="1">((H6*3)+(G6))/5</f>
        <v>0</v>
      </c>
      <c r="J6" s="28" t="str">
        <f t="shared" ref="J6:J40" si="2">IF(I6&gt;=16,"عمل ممتاز واصل بهذا النشاط",IF(I6&gt;=14,"تشكر على مجهوداتك ,واصل ",IF(I6&gt;=12,"عمل جيد يمكنك تحقيق الأفضل ",IF(I6&gt;=10,"عمل حسن كثف مجهودك ",IF(I6&gt;=9,"لا تيأس وحسِن مستواك  ",IF(I6&gt;=0.1," راجع دروسك واهتم أكثر",IF(I6=0,"      ","bad")))))))</f>
        <v/>
      </c>
    </row>
    <row r="7" spans="1:10">
      <c r="A7" s="3"/>
      <c r="B7" s="13">
        <v>3</v>
      </c>
      <c r="C7" s="2"/>
      <c r="D7" s="12"/>
      <c r="E7" s="26"/>
      <c r="F7" s="12"/>
      <c r="G7" s="10">
        <f t="shared" si="0"/>
        <v>0</v>
      </c>
      <c r="H7" s="11"/>
      <c r="I7" s="10">
        <f t="shared" si="1"/>
        <v>0</v>
      </c>
      <c r="J7" s="28" t="str">
        <f t="shared" si="2"/>
        <v/>
      </c>
    </row>
    <row r="8" spans="1:10">
      <c r="A8" s="3"/>
      <c r="B8" s="13">
        <v>4</v>
      </c>
      <c r="C8" s="2"/>
      <c r="D8" s="12"/>
      <c r="E8" s="26"/>
      <c r="F8" s="12"/>
      <c r="G8" s="10">
        <f t="shared" si="0"/>
        <v>0</v>
      </c>
      <c r="H8" s="11"/>
      <c r="I8" s="10">
        <f t="shared" si="1"/>
        <v>0</v>
      </c>
      <c r="J8" s="28" t="str">
        <f t="shared" si="2"/>
        <v/>
      </c>
    </row>
    <row r="9" spans="1:10">
      <c r="A9" s="3"/>
      <c r="B9" s="13">
        <v>5</v>
      </c>
      <c r="C9" s="2"/>
      <c r="D9" s="12"/>
      <c r="E9" s="26"/>
      <c r="F9" s="12"/>
      <c r="G9" s="10">
        <f t="shared" si="0"/>
        <v>0</v>
      </c>
      <c r="H9" s="11"/>
      <c r="I9" s="10">
        <f t="shared" si="1"/>
        <v>0</v>
      </c>
      <c r="J9" s="28" t="str">
        <f t="shared" si="2"/>
        <v/>
      </c>
    </row>
    <row r="10" spans="1:10">
      <c r="A10" s="3"/>
      <c r="B10" s="13">
        <v>6</v>
      </c>
      <c r="C10" s="2"/>
      <c r="D10" s="12"/>
      <c r="E10" s="26"/>
      <c r="F10" s="12"/>
      <c r="G10" s="10">
        <f t="shared" si="0"/>
        <v>0</v>
      </c>
      <c r="H10" s="11"/>
      <c r="I10" s="10">
        <f t="shared" si="1"/>
        <v>0</v>
      </c>
      <c r="J10" s="28" t="str">
        <f t="shared" si="2"/>
        <v/>
      </c>
    </row>
    <row r="11" spans="1:10">
      <c r="A11" s="3"/>
      <c r="B11" s="13">
        <v>7</v>
      </c>
      <c r="C11" s="2"/>
      <c r="D11" s="12"/>
      <c r="E11" s="26"/>
      <c r="F11" s="12"/>
      <c r="G11" s="10">
        <f t="shared" si="0"/>
        <v>0</v>
      </c>
      <c r="H11" s="11"/>
      <c r="I11" s="10">
        <f t="shared" si="1"/>
        <v>0</v>
      </c>
      <c r="J11" s="28" t="str">
        <f t="shared" si="2"/>
        <v/>
      </c>
    </row>
    <row r="12" spans="1:10">
      <c r="A12" s="3"/>
      <c r="B12" s="13">
        <v>8</v>
      </c>
      <c r="C12" s="2"/>
      <c r="D12" s="12"/>
      <c r="E12" s="26"/>
      <c r="F12" s="12"/>
      <c r="G12" s="10">
        <f t="shared" si="0"/>
        <v>0</v>
      </c>
      <c r="H12" s="11"/>
      <c r="I12" s="10">
        <f t="shared" si="1"/>
        <v>0</v>
      </c>
      <c r="J12" s="28" t="str">
        <f t="shared" si="2"/>
        <v/>
      </c>
    </row>
    <row r="13" spans="1:10">
      <c r="A13" s="3"/>
      <c r="B13" s="13">
        <v>9</v>
      </c>
      <c r="C13" s="2"/>
      <c r="D13" s="12"/>
      <c r="E13" s="26"/>
      <c r="F13" s="12"/>
      <c r="G13" s="10">
        <f t="shared" si="0"/>
        <v>0</v>
      </c>
      <c r="H13" s="11"/>
      <c r="I13" s="10">
        <f t="shared" si="1"/>
        <v>0</v>
      </c>
      <c r="J13" s="28" t="str">
        <f t="shared" si="2"/>
        <v/>
      </c>
    </row>
    <row r="14" spans="1:10">
      <c r="A14" s="3"/>
      <c r="B14" s="13">
        <v>10</v>
      </c>
      <c r="C14" s="2"/>
      <c r="D14" s="12"/>
      <c r="E14" s="26"/>
      <c r="F14" s="12"/>
      <c r="G14" s="10">
        <f t="shared" si="0"/>
        <v>0</v>
      </c>
      <c r="H14" s="11"/>
      <c r="I14" s="10">
        <f t="shared" si="1"/>
        <v>0</v>
      </c>
      <c r="J14" s="28" t="str">
        <f t="shared" si="2"/>
        <v/>
      </c>
    </row>
    <row r="15" spans="1:10">
      <c r="A15" s="3"/>
      <c r="B15" s="13">
        <v>11</v>
      </c>
      <c r="C15" s="2"/>
      <c r="D15" s="12"/>
      <c r="E15" s="26"/>
      <c r="F15" s="12"/>
      <c r="G15" s="10">
        <f t="shared" si="0"/>
        <v>0</v>
      </c>
      <c r="H15" s="11"/>
      <c r="I15" s="10">
        <f t="shared" si="1"/>
        <v>0</v>
      </c>
      <c r="J15" s="28" t="str">
        <f t="shared" si="2"/>
        <v/>
      </c>
    </row>
    <row r="16" spans="1:10">
      <c r="A16" s="3"/>
      <c r="B16" s="13">
        <v>12</v>
      </c>
      <c r="C16" s="2"/>
      <c r="D16" s="12"/>
      <c r="E16" s="26"/>
      <c r="F16" s="12"/>
      <c r="G16" s="10">
        <f t="shared" si="0"/>
        <v>0</v>
      </c>
      <c r="H16" s="11"/>
      <c r="I16" s="10">
        <f t="shared" si="1"/>
        <v>0</v>
      </c>
      <c r="J16" s="28" t="str">
        <f t="shared" si="2"/>
        <v/>
      </c>
    </row>
    <row r="17" spans="1:10">
      <c r="A17" s="3"/>
      <c r="B17" s="13">
        <v>13</v>
      </c>
      <c r="C17" s="2"/>
      <c r="D17" s="12"/>
      <c r="E17" s="26"/>
      <c r="F17" s="12"/>
      <c r="G17" s="10">
        <f t="shared" si="0"/>
        <v>0</v>
      </c>
      <c r="H17" s="11"/>
      <c r="I17" s="10">
        <f t="shared" si="1"/>
        <v>0</v>
      </c>
      <c r="J17" s="28" t="str">
        <f t="shared" si="2"/>
        <v/>
      </c>
    </row>
    <row r="18" spans="1:10">
      <c r="A18" s="3"/>
      <c r="B18" s="13">
        <v>14</v>
      </c>
      <c r="C18" s="2"/>
      <c r="D18" s="12"/>
      <c r="E18" s="26"/>
      <c r="F18" s="12"/>
      <c r="G18" s="10">
        <f t="shared" si="0"/>
        <v>0</v>
      </c>
      <c r="H18" s="11"/>
      <c r="I18" s="10">
        <f t="shared" si="1"/>
        <v>0</v>
      </c>
      <c r="J18" s="28" t="str">
        <f t="shared" si="2"/>
        <v/>
      </c>
    </row>
    <row r="19" spans="1:10">
      <c r="A19" s="3"/>
      <c r="B19" s="13">
        <v>15</v>
      </c>
      <c r="C19" s="2"/>
      <c r="D19" s="12"/>
      <c r="E19" s="26"/>
      <c r="F19" s="12"/>
      <c r="G19" s="10">
        <f t="shared" si="0"/>
        <v>0</v>
      </c>
      <c r="H19" s="11"/>
      <c r="I19" s="10">
        <f t="shared" si="1"/>
        <v>0</v>
      </c>
      <c r="J19" s="28" t="str">
        <f t="shared" si="2"/>
        <v/>
      </c>
    </row>
    <row r="20" spans="1:10">
      <c r="A20" s="3"/>
      <c r="B20" s="13">
        <v>16</v>
      </c>
      <c r="C20" s="2"/>
      <c r="D20" s="12"/>
      <c r="E20" s="26"/>
      <c r="F20" s="12"/>
      <c r="G20" s="10">
        <f t="shared" si="0"/>
        <v>0</v>
      </c>
      <c r="H20" s="11"/>
      <c r="I20" s="10">
        <f t="shared" si="1"/>
        <v>0</v>
      </c>
      <c r="J20" s="28" t="str">
        <f t="shared" si="2"/>
        <v/>
      </c>
    </row>
    <row r="21" spans="1:10">
      <c r="A21" s="3"/>
      <c r="B21" s="13">
        <v>17</v>
      </c>
      <c r="C21" s="2"/>
      <c r="D21" s="12"/>
      <c r="E21" s="26"/>
      <c r="F21" s="12"/>
      <c r="G21" s="10">
        <f t="shared" si="0"/>
        <v>0</v>
      </c>
      <c r="H21" s="11"/>
      <c r="I21" s="10">
        <f t="shared" si="1"/>
        <v>0</v>
      </c>
      <c r="J21" s="28" t="str">
        <f t="shared" si="2"/>
        <v/>
      </c>
    </row>
    <row r="22" spans="1:10">
      <c r="A22" s="3"/>
      <c r="B22" s="13">
        <v>18</v>
      </c>
      <c r="C22" s="2"/>
      <c r="D22" s="12"/>
      <c r="E22" s="26"/>
      <c r="F22" s="12"/>
      <c r="G22" s="10">
        <f t="shared" si="0"/>
        <v>0</v>
      </c>
      <c r="H22" s="11"/>
      <c r="I22" s="10">
        <f t="shared" si="1"/>
        <v>0</v>
      </c>
      <c r="J22" s="28" t="str">
        <f t="shared" si="2"/>
        <v/>
      </c>
    </row>
    <row r="23" spans="1:10">
      <c r="A23" s="3"/>
      <c r="B23" s="13">
        <v>19</v>
      </c>
      <c r="C23" s="2"/>
      <c r="D23" s="12"/>
      <c r="E23" s="26"/>
      <c r="F23" s="12"/>
      <c r="G23" s="10">
        <f t="shared" si="0"/>
        <v>0</v>
      </c>
      <c r="H23" s="11"/>
      <c r="I23" s="10">
        <f t="shared" si="1"/>
        <v>0</v>
      </c>
      <c r="J23" s="28" t="str">
        <f t="shared" si="2"/>
        <v/>
      </c>
    </row>
    <row r="24" spans="1:10">
      <c r="A24" s="3"/>
      <c r="B24" s="13">
        <v>20</v>
      </c>
      <c r="C24" s="2"/>
      <c r="D24" s="12"/>
      <c r="E24" s="26"/>
      <c r="F24" s="12"/>
      <c r="G24" s="10">
        <f t="shared" si="0"/>
        <v>0</v>
      </c>
      <c r="H24" s="11"/>
      <c r="I24" s="10">
        <f t="shared" si="1"/>
        <v>0</v>
      </c>
      <c r="J24" s="28" t="str">
        <f t="shared" si="2"/>
        <v/>
      </c>
    </row>
    <row r="25" spans="1:10">
      <c r="A25" s="3"/>
      <c r="B25" s="13">
        <v>21</v>
      </c>
      <c r="C25" s="2"/>
      <c r="D25" s="12"/>
      <c r="E25" s="26"/>
      <c r="F25" s="12"/>
      <c r="G25" s="10">
        <f t="shared" si="0"/>
        <v>0</v>
      </c>
      <c r="H25" s="11"/>
      <c r="I25" s="10">
        <f t="shared" si="1"/>
        <v>0</v>
      </c>
      <c r="J25" s="28" t="str">
        <f t="shared" si="2"/>
        <v/>
      </c>
    </row>
    <row r="26" spans="1:10">
      <c r="A26" s="3"/>
      <c r="B26" s="13">
        <v>22</v>
      </c>
      <c r="C26" s="2"/>
      <c r="D26" s="12"/>
      <c r="E26" s="26"/>
      <c r="F26" s="12"/>
      <c r="G26" s="10">
        <f t="shared" si="0"/>
        <v>0</v>
      </c>
      <c r="H26" s="11"/>
      <c r="I26" s="10">
        <f t="shared" si="1"/>
        <v>0</v>
      </c>
      <c r="J26" s="28" t="str">
        <f t="shared" si="2"/>
        <v/>
      </c>
    </row>
    <row r="27" spans="1:10">
      <c r="A27" s="3"/>
      <c r="B27" s="13">
        <v>23</v>
      </c>
      <c r="C27" s="2"/>
      <c r="D27" s="12"/>
      <c r="E27" s="26"/>
      <c r="F27" s="12"/>
      <c r="G27" s="10">
        <f t="shared" si="0"/>
        <v>0</v>
      </c>
      <c r="H27" s="11"/>
      <c r="I27" s="10">
        <f t="shared" si="1"/>
        <v>0</v>
      </c>
      <c r="J27" s="28" t="str">
        <f t="shared" si="2"/>
        <v/>
      </c>
    </row>
    <row r="28" spans="1:10">
      <c r="A28" s="3"/>
      <c r="B28" s="13">
        <v>24</v>
      </c>
      <c r="C28" s="2"/>
      <c r="D28" s="12"/>
      <c r="E28" s="26"/>
      <c r="F28" s="12"/>
      <c r="G28" s="10">
        <f t="shared" si="0"/>
        <v>0</v>
      </c>
      <c r="H28" s="11"/>
      <c r="I28" s="10">
        <f t="shared" si="1"/>
        <v>0</v>
      </c>
      <c r="J28" s="28" t="str">
        <f t="shared" si="2"/>
        <v/>
      </c>
    </row>
    <row r="29" spans="1:10">
      <c r="A29" s="3"/>
      <c r="B29" s="13">
        <v>25</v>
      </c>
      <c r="C29" s="2"/>
      <c r="D29" s="12"/>
      <c r="E29" s="26"/>
      <c r="F29" s="12"/>
      <c r="G29" s="10">
        <f t="shared" si="0"/>
        <v>0</v>
      </c>
      <c r="H29" s="11"/>
      <c r="I29" s="10">
        <f t="shared" si="1"/>
        <v>0</v>
      </c>
      <c r="J29" s="28" t="str">
        <f t="shared" si="2"/>
        <v/>
      </c>
    </row>
    <row r="30" spans="1:10">
      <c r="A30" s="3"/>
      <c r="B30" s="13">
        <v>26</v>
      </c>
      <c r="C30" s="2"/>
      <c r="D30" s="12"/>
      <c r="E30" s="26"/>
      <c r="F30" s="12"/>
      <c r="G30" s="10">
        <f t="shared" si="0"/>
        <v>0</v>
      </c>
      <c r="H30" s="11"/>
      <c r="I30" s="10">
        <f t="shared" si="1"/>
        <v>0</v>
      </c>
      <c r="J30" s="28" t="str">
        <f t="shared" si="2"/>
        <v/>
      </c>
    </row>
    <row r="31" spans="1:10">
      <c r="A31" s="3"/>
      <c r="B31" s="13">
        <v>27</v>
      </c>
      <c r="C31" s="2"/>
      <c r="D31" s="12"/>
      <c r="E31" s="26"/>
      <c r="F31" s="12"/>
      <c r="G31" s="10">
        <f t="shared" si="0"/>
        <v>0</v>
      </c>
      <c r="H31" s="11"/>
      <c r="I31" s="10">
        <f t="shared" si="1"/>
        <v>0</v>
      </c>
      <c r="J31" s="28" t="str">
        <f t="shared" si="2"/>
        <v/>
      </c>
    </row>
    <row r="32" spans="1:10">
      <c r="A32" s="3"/>
      <c r="B32" s="13">
        <v>28</v>
      </c>
      <c r="C32" s="2"/>
      <c r="D32" s="12"/>
      <c r="E32" s="26"/>
      <c r="F32" s="12"/>
      <c r="G32" s="10">
        <f t="shared" si="0"/>
        <v>0</v>
      </c>
      <c r="H32" s="11"/>
      <c r="I32" s="10">
        <f t="shared" si="1"/>
        <v>0</v>
      </c>
      <c r="J32" s="28" t="str">
        <f t="shared" si="2"/>
        <v/>
      </c>
    </row>
    <row r="33" spans="1:10">
      <c r="A33" s="3"/>
      <c r="B33" s="13">
        <v>29</v>
      </c>
      <c r="C33" s="2"/>
      <c r="D33" s="12"/>
      <c r="E33" s="26"/>
      <c r="F33" s="12"/>
      <c r="G33" s="10">
        <f t="shared" si="0"/>
        <v>0</v>
      </c>
      <c r="H33" s="11"/>
      <c r="I33" s="10">
        <f t="shared" si="1"/>
        <v>0</v>
      </c>
      <c r="J33" s="28" t="str">
        <f t="shared" si="2"/>
        <v/>
      </c>
    </row>
    <row r="34" spans="1:10">
      <c r="A34" s="3"/>
      <c r="B34" s="13">
        <v>30</v>
      </c>
      <c r="C34" s="2"/>
      <c r="D34" s="12"/>
      <c r="E34" s="26"/>
      <c r="F34" s="12"/>
      <c r="G34" s="10">
        <f t="shared" si="0"/>
        <v>0</v>
      </c>
      <c r="H34" s="11"/>
      <c r="I34" s="10">
        <f t="shared" si="1"/>
        <v>0</v>
      </c>
      <c r="J34" s="28" t="str">
        <f t="shared" si="2"/>
        <v/>
      </c>
    </row>
    <row r="35" spans="1:10">
      <c r="A35" s="3"/>
      <c r="B35" s="13">
        <v>31</v>
      </c>
      <c r="C35" s="2"/>
      <c r="D35" s="12"/>
      <c r="E35" s="26"/>
      <c r="F35" s="12"/>
      <c r="G35" s="10">
        <f t="shared" si="0"/>
        <v>0</v>
      </c>
      <c r="H35" s="11"/>
      <c r="I35" s="10">
        <f t="shared" si="1"/>
        <v>0</v>
      </c>
      <c r="J35" s="28" t="str">
        <f t="shared" si="2"/>
        <v/>
      </c>
    </row>
    <row r="36" spans="1:10">
      <c r="A36" s="3"/>
      <c r="B36" s="13">
        <v>32</v>
      </c>
      <c r="C36" s="2"/>
      <c r="D36" s="12"/>
      <c r="E36" s="26"/>
      <c r="F36" s="12"/>
      <c r="G36" s="10">
        <f t="shared" si="0"/>
        <v>0</v>
      </c>
      <c r="H36" s="11"/>
      <c r="I36" s="10">
        <f t="shared" si="1"/>
        <v>0</v>
      </c>
      <c r="J36" s="28" t="str">
        <f t="shared" si="2"/>
        <v/>
      </c>
    </row>
    <row r="37" spans="1:10">
      <c r="A37" s="3"/>
      <c r="B37" s="13">
        <v>33</v>
      </c>
      <c r="C37" s="2"/>
      <c r="D37" s="12"/>
      <c r="E37" s="26"/>
      <c r="F37" s="12"/>
      <c r="G37" s="10">
        <f t="shared" si="0"/>
        <v>0</v>
      </c>
      <c r="H37" s="11"/>
      <c r="I37" s="10">
        <f t="shared" si="1"/>
        <v>0</v>
      </c>
      <c r="J37" s="28" t="str">
        <f t="shared" si="2"/>
        <v/>
      </c>
    </row>
    <row r="38" spans="1:10">
      <c r="A38" s="3"/>
      <c r="B38" s="13">
        <v>34</v>
      </c>
      <c r="C38" s="2"/>
      <c r="D38" s="12"/>
      <c r="E38" s="26"/>
      <c r="F38" s="12"/>
      <c r="G38" s="10">
        <f t="shared" si="0"/>
        <v>0</v>
      </c>
      <c r="H38" s="11"/>
      <c r="I38" s="10">
        <f t="shared" si="1"/>
        <v>0</v>
      </c>
      <c r="J38" s="28" t="str">
        <f t="shared" si="2"/>
        <v/>
      </c>
    </row>
    <row r="39" spans="1:10">
      <c r="A39" s="3"/>
      <c r="B39" s="13">
        <v>35</v>
      </c>
      <c r="C39" s="2"/>
      <c r="D39" s="12"/>
      <c r="E39" s="26"/>
      <c r="F39" s="12"/>
      <c r="G39" s="10">
        <f t="shared" si="0"/>
        <v>0</v>
      </c>
      <c r="H39" s="11"/>
      <c r="I39" s="10">
        <f t="shared" si="1"/>
        <v>0</v>
      </c>
      <c r="J39" s="28" t="str">
        <f t="shared" si="2"/>
        <v/>
      </c>
    </row>
    <row r="40" spans="1:10">
      <c r="A40" s="3"/>
      <c r="B40" s="13">
        <v>36</v>
      </c>
      <c r="C40" s="2"/>
      <c r="D40" s="12"/>
      <c r="E40" s="26"/>
      <c r="F40" s="12"/>
      <c r="G40" s="10">
        <f t="shared" si="0"/>
        <v>0</v>
      </c>
      <c r="H40" s="11"/>
      <c r="I40" s="10">
        <f t="shared" si="1"/>
        <v>0</v>
      </c>
      <c r="J40" s="28" t="str">
        <f t="shared" si="2"/>
        <v/>
      </c>
    </row>
    <row r="41" spans="1:10">
      <c r="A41" s="14"/>
      <c r="B41" s="14"/>
      <c r="C41" s="14"/>
      <c r="D41" s="16"/>
      <c r="E41" s="19">
        <f>COUNTA(E5:E40)</f>
        <v>0</v>
      </c>
      <c r="F41" s="19">
        <f>COUNTA(F5:F40)</f>
        <v>0</v>
      </c>
      <c r="G41" s="19"/>
      <c r="H41" s="19">
        <f>COUNTA(H5:H40)</f>
        <v>0</v>
      </c>
      <c r="I41" s="16"/>
      <c r="J41" s="14"/>
    </row>
    <row r="42" spans="1:10">
      <c r="A42" s="14"/>
      <c r="B42" s="14"/>
      <c r="C42" s="14"/>
      <c r="D42" s="14"/>
      <c r="E42" s="14"/>
      <c r="F42" s="14"/>
      <c r="G42" s="14"/>
      <c r="H42" s="14"/>
      <c r="I42" s="14"/>
      <c r="J42" s="14"/>
    </row>
    <row r="43" spans="1:10" ht="22.5">
      <c r="A43" s="14"/>
      <c r="B43" s="14"/>
      <c r="C43" s="20" t="s">
        <v>15</v>
      </c>
      <c r="D43" s="21" t="s">
        <v>11</v>
      </c>
      <c r="E43" s="21"/>
      <c r="F43" s="22"/>
      <c r="G43" s="22"/>
      <c r="H43" s="21" t="s">
        <v>12</v>
      </c>
      <c r="I43" s="17"/>
      <c r="J43" s="14"/>
    </row>
    <row r="44" spans="1:10" ht="21">
      <c r="A44" s="14"/>
      <c r="B44" s="14"/>
      <c r="C44" s="23">
        <f>MAX(I5:I40)</f>
        <v>0</v>
      </c>
      <c r="D44" s="6" t="s">
        <v>8</v>
      </c>
      <c r="E44" s="7">
        <f>COUNTIF(E5:E40,"&gt;=10")</f>
        <v>0</v>
      </c>
      <c r="F44" s="14"/>
      <c r="G44" s="14"/>
      <c r="H44" s="8" t="s">
        <v>8</v>
      </c>
      <c r="I44" s="7">
        <f>COUNTIF(H5:H40,"&gt;=10")</f>
        <v>0</v>
      </c>
      <c r="J44" s="14"/>
    </row>
    <row r="45" spans="1:10" ht="21">
      <c r="A45" s="14"/>
      <c r="B45" s="14"/>
      <c r="C45" s="14"/>
      <c r="D45" s="7" t="s">
        <v>9</v>
      </c>
      <c r="E45" s="24" t="e">
        <f>E44*100/E41</f>
        <v>#DIV/0!</v>
      </c>
      <c r="F45" s="14"/>
      <c r="G45" s="14"/>
      <c r="H45" s="7" t="s">
        <v>9</v>
      </c>
      <c r="I45" s="9" t="e">
        <f>I44*100/H41</f>
        <v>#DIV/0!</v>
      </c>
      <c r="J45" s="14"/>
    </row>
    <row r="46" spans="1:10">
      <c r="A46" s="14"/>
      <c r="B46" s="14"/>
      <c r="C46" s="14"/>
      <c r="D46" s="14"/>
      <c r="E46" s="14"/>
      <c r="F46" s="14"/>
      <c r="G46" s="14"/>
      <c r="H46" s="14"/>
      <c r="I46" s="14"/>
      <c r="J46" s="14"/>
    </row>
    <row r="47" spans="1:10" ht="22.5">
      <c r="A47" s="14"/>
      <c r="B47" s="14"/>
      <c r="C47" s="20" t="s">
        <v>14</v>
      </c>
      <c r="D47" s="21" t="s">
        <v>10</v>
      </c>
      <c r="E47" s="21"/>
      <c r="F47" s="22"/>
      <c r="G47" s="22"/>
      <c r="H47" s="21" t="s">
        <v>13</v>
      </c>
      <c r="I47" s="17"/>
      <c r="J47" s="14"/>
    </row>
    <row r="48" spans="1:10" ht="21">
      <c r="A48" s="14"/>
      <c r="B48" s="14"/>
      <c r="C48" s="18">
        <f t="array" ref="C48">MIN(IF(I5:I40&gt;0,I5:I40))</f>
        <v>0</v>
      </c>
      <c r="D48" s="6" t="s">
        <v>8</v>
      </c>
      <c r="E48" s="7">
        <f>COUNTIF(F5:F40,"&gt;=10")</f>
        <v>0</v>
      </c>
      <c r="F48" s="14"/>
      <c r="G48" s="14"/>
      <c r="H48" s="8" t="s">
        <v>8</v>
      </c>
      <c r="I48" s="7">
        <f>COUNTIF(I5:I40,"&gt;=10")</f>
        <v>0</v>
      </c>
      <c r="J48" s="14"/>
    </row>
    <row r="49" spans="1:10" ht="21">
      <c r="A49" s="14"/>
      <c r="B49" s="14"/>
      <c r="C49" s="14"/>
      <c r="D49" s="7" t="s">
        <v>9</v>
      </c>
      <c r="E49" s="7" t="e">
        <f>E48*100/F41</f>
        <v>#DIV/0!</v>
      </c>
      <c r="F49" s="14"/>
      <c r="G49" s="14"/>
      <c r="H49" s="7" t="s">
        <v>9</v>
      </c>
      <c r="I49" s="9" t="e">
        <f>I48*100/H41</f>
        <v>#DIV/0!</v>
      </c>
      <c r="J49" s="14"/>
    </row>
    <row r="50" spans="1:10">
      <c r="A50" s="14"/>
      <c r="B50" s="14"/>
      <c r="C50" s="14"/>
      <c r="D50" s="14"/>
      <c r="E50" s="14"/>
      <c r="F50" s="14"/>
      <c r="G50" s="14"/>
      <c r="H50" s="14"/>
      <c r="I50" s="14"/>
      <c r="J50" s="14"/>
    </row>
    <row r="51" spans="1:10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0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10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0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0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0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0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0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10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0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>
      <c r="A100" s="3"/>
      <c r="B100" s="3"/>
      <c r="C100" s="3"/>
      <c r="D100" s="3"/>
      <c r="E100" s="3"/>
      <c r="F100" s="3"/>
      <c r="G100" s="3"/>
      <c r="H100" s="3"/>
      <c r="I100" s="3"/>
      <c r="J100" s="3"/>
    </row>
    <row r="101" spans="1:10">
      <c r="A101" s="3"/>
      <c r="B101" s="3"/>
      <c r="C101" s="3"/>
      <c r="D101" s="3"/>
      <c r="E101" s="3"/>
      <c r="F101" s="3"/>
      <c r="G101" s="3"/>
      <c r="H101" s="3"/>
      <c r="I101" s="3"/>
      <c r="J101" s="3"/>
    </row>
    <row r="102" spans="1:10">
      <c r="A102" s="3"/>
      <c r="B102" s="3"/>
      <c r="C102" s="3"/>
      <c r="D102" s="3"/>
      <c r="E102" s="3"/>
      <c r="F102" s="3"/>
      <c r="G102" s="3"/>
      <c r="H102" s="3"/>
      <c r="I102" s="3"/>
      <c r="J102" s="3"/>
    </row>
    <row r="103" spans="1:10">
      <c r="A103" s="3"/>
      <c r="B103" s="3"/>
      <c r="C103" s="3"/>
      <c r="D103" s="3"/>
      <c r="E103" s="3"/>
      <c r="F103" s="3"/>
      <c r="G103" s="3"/>
      <c r="H103" s="3"/>
      <c r="I103" s="3"/>
      <c r="J103" s="3"/>
    </row>
  </sheetData>
  <sheetProtection selectLockedCells="1" sort="0"/>
  <mergeCells count="1">
    <mergeCell ref="E2:G2"/>
  </mergeCells>
  <conditionalFormatting sqref="I5:I40">
    <cfRule type="cellIs" dxfId="9" priority="10" operator="lessThan">
      <formula>10</formula>
    </cfRule>
  </conditionalFormatting>
  <conditionalFormatting sqref="I5:I40">
    <cfRule type="cellIs" dxfId="8" priority="9" operator="equal">
      <formula>0</formula>
    </cfRule>
  </conditionalFormatting>
  <conditionalFormatting sqref="H5:H40">
    <cfRule type="cellIs" dxfId="7" priority="8" operator="lessThan">
      <formula>10</formula>
    </cfRule>
  </conditionalFormatting>
  <conditionalFormatting sqref="H5:H40">
    <cfRule type="containsBlanks" dxfId="6" priority="7">
      <formula>LEN(TRIM(H5))=0</formula>
    </cfRule>
  </conditionalFormatting>
  <conditionalFormatting sqref="E45">
    <cfRule type="cellIs" dxfId="5" priority="6" operator="lessThan">
      <formula>50</formula>
    </cfRule>
  </conditionalFormatting>
  <conditionalFormatting sqref="I45">
    <cfRule type="cellIs" dxfId="4" priority="5" operator="lessThan">
      <formula>50</formula>
    </cfRule>
  </conditionalFormatting>
  <conditionalFormatting sqref="E49">
    <cfRule type="cellIs" dxfId="3" priority="4" operator="lessThan">
      <formula>50</formula>
    </cfRule>
  </conditionalFormatting>
  <conditionalFormatting sqref="I49">
    <cfRule type="cellIs" dxfId="2" priority="2" operator="lessThan">
      <formula>50</formula>
    </cfRule>
    <cfRule type="cellIs" dxfId="1" priority="3" operator="lessThan">
      <formula>50</formula>
    </cfRule>
  </conditionalFormatting>
  <conditionalFormatting sqref="D5:F40">
    <cfRule type="cellIs" dxfId="0" priority="1" operator="lessThan">
      <formula>10</formula>
    </cfRule>
  </conditionalFormatting>
  <pageMargins left="0.23622047244094491" right="0.23622047244094491" top="0.74803149606299213" bottom="0.19685039370078741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القسم 1 </vt:lpstr>
      <vt:lpstr>القسم 2</vt:lpstr>
      <vt:lpstr>القسم 3</vt:lpstr>
      <vt:lpstr>القسم4</vt:lpstr>
      <vt:lpstr>القسم5</vt:lpstr>
      <vt:lpstr>القسم6</vt:lpstr>
      <vt:lpstr>القسم7</vt:lpstr>
      <vt:lpstr>القسم8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2018-11-04T23:45:01Z</dcterms:modified>
</cp:coreProperties>
</file>