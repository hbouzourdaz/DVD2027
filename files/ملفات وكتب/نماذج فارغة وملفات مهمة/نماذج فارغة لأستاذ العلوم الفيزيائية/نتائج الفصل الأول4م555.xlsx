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externalReferences>
    <externalReference r:id="rId4"/>
  </externalReferences>
  <definedNames>
    <definedName name="note_comp_max">[1]PAGE1!$P$9</definedName>
  </definedNames>
  <calcPr calcId="124519"/>
</workbook>
</file>

<file path=xl/calcChain.xml><?xml version="1.0" encoding="utf-8"?>
<calcChain xmlns="http://schemas.openxmlformats.org/spreadsheetml/2006/main">
  <c r="I7" i="1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6"/>
  <c r="K7"/>
  <c r="L7" s="1"/>
  <c r="M7" s="1"/>
  <c r="K8"/>
  <c r="L8" s="1"/>
  <c r="M8" s="1"/>
  <c r="K9"/>
  <c r="L9" s="1"/>
  <c r="M9" s="1"/>
  <c r="K10"/>
  <c r="L10" s="1"/>
  <c r="M10" s="1"/>
  <c r="K11"/>
  <c r="L11" s="1"/>
  <c r="M11" s="1"/>
  <c r="K12"/>
  <c r="L12" s="1"/>
  <c r="M12" s="1"/>
  <c r="K13"/>
  <c r="L13" s="1"/>
  <c r="M13" s="1"/>
  <c r="K14"/>
  <c r="L14" s="1"/>
  <c r="M14" s="1"/>
  <c r="K15"/>
  <c r="L15" s="1"/>
  <c r="M15" s="1"/>
  <c r="K16"/>
  <c r="L16" s="1"/>
  <c r="M16" s="1"/>
  <c r="K17"/>
  <c r="L17" s="1"/>
  <c r="M17" s="1"/>
  <c r="K18"/>
  <c r="L18" s="1"/>
  <c r="M18" s="1"/>
  <c r="K19"/>
  <c r="L19" s="1"/>
  <c r="M19" s="1"/>
  <c r="K20"/>
  <c r="L20" s="1"/>
  <c r="M20" s="1"/>
  <c r="K21"/>
  <c r="L21" s="1"/>
  <c r="M21" s="1"/>
  <c r="K22"/>
  <c r="L22" s="1"/>
  <c r="M22" s="1"/>
  <c r="K23"/>
  <c r="L23" s="1"/>
  <c r="M23" s="1"/>
  <c r="K24"/>
  <c r="L24" s="1"/>
  <c r="M24" s="1"/>
  <c r="K25"/>
  <c r="L25" s="1"/>
  <c r="M25" s="1"/>
  <c r="K26"/>
  <c r="L26" s="1"/>
  <c r="M26" s="1"/>
  <c r="K27"/>
  <c r="L27" s="1"/>
  <c r="M27" s="1"/>
  <c r="K28"/>
  <c r="L28" s="1"/>
  <c r="M28" s="1"/>
  <c r="K29"/>
  <c r="L29" s="1"/>
  <c r="M29" s="1"/>
  <c r="K30"/>
  <c r="L30" s="1"/>
  <c r="M30" s="1"/>
  <c r="K31"/>
  <c r="L31" s="1"/>
  <c r="M31" s="1"/>
  <c r="K32"/>
  <c r="L32" s="1"/>
  <c r="M32" s="1"/>
  <c r="K33"/>
  <c r="L33" s="1"/>
  <c r="M33" s="1"/>
  <c r="K34"/>
  <c r="L34" s="1"/>
  <c r="M34" s="1"/>
  <c r="K35"/>
  <c r="L35" s="1"/>
  <c r="M35" s="1"/>
  <c r="K36"/>
  <c r="L36" s="1"/>
  <c r="M36" s="1"/>
  <c r="K37"/>
  <c r="L37" s="1"/>
  <c r="M37" s="1"/>
  <c r="K38"/>
  <c r="L38" s="1"/>
  <c r="M38" s="1"/>
  <c r="K39"/>
  <c r="L39" s="1"/>
  <c r="M39" s="1"/>
  <c r="K40"/>
  <c r="L40" s="1"/>
  <c r="M40" s="1"/>
  <c r="K41"/>
  <c r="L41" s="1"/>
  <c r="M41" s="1"/>
  <c r="K6"/>
  <c r="L6" l="1"/>
  <c r="M6" s="1"/>
</calcChain>
</file>

<file path=xl/sharedStrings.xml><?xml version="1.0" encoding="utf-8"?>
<sst xmlns="http://schemas.openxmlformats.org/spreadsheetml/2006/main" count="80" uniqueCount="27">
  <si>
    <t>اســــم و لقــب التلميــذ</t>
  </si>
  <si>
    <t>تقويم النشاطات</t>
  </si>
  <si>
    <t>الفرض الأول</t>
  </si>
  <si>
    <t>الفرض الثاني</t>
  </si>
  <si>
    <t>الترتيب</t>
  </si>
  <si>
    <t>الواجب1</t>
  </si>
  <si>
    <t>الواجب2</t>
  </si>
  <si>
    <t>التقويم التشخيصي</t>
  </si>
  <si>
    <t xml:space="preserve">   المعدل</t>
  </si>
  <si>
    <t>المعدل xالمعامل</t>
  </si>
  <si>
    <t>السنة الدراسية :</t>
  </si>
  <si>
    <t>2016/2015</t>
  </si>
  <si>
    <t xml:space="preserve">    نتائج الثلاثي     </t>
  </si>
  <si>
    <t>الأول</t>
  </si>
  <si>
    <t xml:space="preserve">       الأستاذ(ة) :</t>
  </si>
  <si>
    <t>مادة:</t>
  </si>
  <si>
    <t>الرياضيات</t>
  </si>
  <si>
    <t xml:space="preserve">   القسم : </t>
  </si>
  <si>
    <t>4م5</t>
  </si>
  <si>
    <t>المعامل</t>
  </si>
  <si>
    <t xml:space="preserve">  الاختبار</t>
  </si>
  <si>
    <t>معدل الفروض</t>
  </si>
  <si>
    <t xml:space="preserve">الإختبار </t>
  </si>
  <si>
    <t>A</t>
  </si>
  <si>
    <t>فلان الفلاني</t>
  </si>
  <si>
    <t xml:space="preserve"> عبدالحق</t>
  </si>
  <si>
    <t>متوسطة :مغنية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</si>
</sst>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b/>
      <sz val="11"/>
      <name val="Times New Roman (Arabic)"/>
      <family val="1"/>
      <charset val="178"/>
    </font>
    <font>
      <b/>
      <sz val="10"/>
      <name val="Times New Roman (Arabic)"/>
      <family val="1"/>
      <charset val="178"/>
    </font>
    <font>
      <b/>
      <sz val="10"/>
      <name val="Arial"/>
      <family val="2"/>
    </font>
    <font>
      <b/>
      <sz val="16"/>
      <color indexed="12"/>
      <name val="Arial"/>
    </font>
    <font>
      <b/>
      <sz val="20"/>
      <color indexed="53"/>
      <name val="Arial"/>
    </font>
    <font>
      <b/>
      <sz val="14"/>
      <color indexed="50"/>
      <name val="Arial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0"/>
      <color indexed="50"/>
      <name val="Arial"/>
      <family val="2"/>
    </font>
    <font>
      <b/>
      <u/>
      <sz val="14"/>
      <name val="Arabic Transparent"/>
      <charset val="178"/>
    </font>
    <font>
      <b/>
      <sz val="12"/>
      <color indexed="53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4"/>
      <color indexed="50"/>
      <name val="Arial"/>
      <family val="2"/>
    </font>
    <font>
      <sz val="10"/>
      <color indexed="50"/>
      <name val="Arial"/>
      <family val="2"/>
    </font>
    <font>
      <b/>
      <sz val="14"/>
      <color indexed="10"/>
      <name val="Arial"/>
      <family val="2"/>
    </font>
    <font>
      <b/>
      <sz val="14"/>
      <color indexed="48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sz val="12"/>
      <name val="Andalus"/>
      <family val="1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2" borderId="1" xfId="0" quotePrefix="1" applyFont="1" applyFill="1" applyBorder="1" applyAlignment="1" applyProtection="1">
      <alignment horizontal="center" vertical="center" wrapText="1"/>
    </xf>
    <xf numFmtId="0" fontId="2" fillId="3" borderId="1" xfId="0" quotePrefix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textRotation="180"/>
    </xf>
    <xf numFmtId="0" fontId="5" fillId="0" borderId="1" xfId="0" applyFont="1" applyFill="1" applyBorder="1" applyAlignment="1">
      <alignment horizontal="center" textRotation="180"/>
    </xf>
    <xf numFmtId="0" fontId="6" fillId="0" borderId="1" xfId="0" applyFont="1" applyBorder="1" applyAlignment="1">
      <alignment horizontal="center" vertical="center" textRotation="180"/>
    </xf>
    <xf numFmtId="2" fontId="7" fillId="0" borderId="1" xfId="0" applyNumberFormat="1" applyFont="1" applyBorder="1" applyAlignment="1" applyProtection="1">
      <alignment horizontal="center"/>
    </xf>
    <xf numFmtId="2" fontId="8" fillId="0" borderId="1" xfId="0" applyNumberFormat="1" applyFont="1" applyBorder="1" applyAlignment="1" applyProtection="1">
      <alignment horizontal="center"/>
    </xf>
    <xf numFmtId="2" fontId="9" fillId="0" borderId="1" xfId="0" applyNumberFormat="1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0" fillId="0" borderId="0" xfId="0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0" fillId="0" borderId="0" xfId="0" applyFill="1" applyBorder="1"/>
    <xf numFmtId="0" fontId="12" fillId="5" borderId="5" xfId="0" applyFont="1" applyFill="1" applyBorder="1"/>
    <xf numFmtId="0" fontId="13" fillId="0" borderId="0" xfId="0" applyFont="1" applyBorder="1"/>
    <xf numFmtId="0" fontId="17" fillId="0" borderId="5" xfId="0" applyFont="1" applyBorder="1" applyAlignment="1">
      <alignment horizontal="center"/>
    </xf>
    <xf numFmtId="0" fontId="20" fillId="0" borderId="0" xfId="0" applyFont="1"/>
    <xf numFmtId="0" fontId="12" fillId="0" borderId="5" xfId="0" applyFont="1" applyBorder="1" applyAlignment="1">
      <alignment horizontal="center"/>
    </xf>
    <xf numFmtId="0" fontId="21" fillId="0" borderId="0" xfId="0" applyFont="1"/>
    <xf numFmtId="4" fontId="3" fillId="4" borderId="1" xfId="0" applyNumberFormat="1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vertical="center" textRotation="180"/>
    </xf>
    <xf numFmtId="1" fontId="3" fillId="0" borderId="1" xfId="0" applyNumberFormat="1" applyFont="1" applyBorder="1" applyAlignment="1" applyProtection="1">
      <alignment horizontal="center"/>
    </xf>
    <xf numFmtId="2" fontId="3" fillId="0" borderId="1" xfId="0" applyNumberFormat="1" applyFont="1" applyBorder="1" applyAlignment="1" applyProtection="1">
      <alignment horizontal="center"/>
    </xf>
    <xf numFmtId="0" fontId="22" fillId="0" borderId="1" xfId="0" applyFont="1" applyBorder="1" applyAlignment="1">
      <alignment horizont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Fill="1" applyBorder="1" applyAlignment="1" applyProtection="1">
      <alignment horizontal="center" vertical="center"/>
    </xf>
    <xf numFmtId="0" fontId="24" fillId="0" borderId="9" xfId="0" applyFont="1" applyBorder="1" applyProtection="1"/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2" fillId="5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3" fillId="0" borderId="0" xfId="0" applyFont="1" applyFill="1" applyBorder="1" applyAlignment="1"/>
    <xf numFmtId="0" fontId="14" fillId="0" borderId="0" xfId="0" applyFont="1" applyAlignment="1"/>
    <xf numFmtId="0" fontId="18" fillId="0" borderId="2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TES.2015-2016.T1.C5.M1.&#1587;4&#1605;5.&#1575;&#1604;&#1585;&#1610;&#1600;&#1575;&#1590;&#1610;&#1600;&#1600;&#1600;&#1575;&#157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GE1"/>
    </sheetNames>
    <sheetDataSet>
      <sheetData sheetId="0">
        <row r="9">
          <cell r="P9">
            <v>22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rightToLeft="1" tabSelected="1" topLeftCell="A19" workbookViewId="0">
      <selection activeCell="G10" sqref="G10"/>
    </sheetView>
  </sheetViews>
  <sheetFormatPr baseColWidth="10" defaultRowHeight="15"/>
  <cols>
    <col min="1" max="1" width="4.5703125" customWidth="1"/>
    <col min="2" max="2" width="17.42578125" customWidth="1"/>
    <col min="3" max="3" width="8.85546875" customWidth="1"/>
    <col min="4" max="4" width="9.5703125" customWidth="1"/>
    <col min="5" max="5" width="9.85546875" customWidth="1"/>
    <col min="6" max="6" width="9.5703125" customWidth="1"/>
    <col min="7" max="7" width="8.140625" customWidth="1"/>
    <col min="8" max="8" width="9" customWidth="1"/>
    <col min="9" max="9" width="8.85546875" customWidth="1"/>
    <col min="10" max="10" width="8.5703125" customWidth="1"/>
    <col min="11" max="11" width="9.28515625" customWidth="1"/>
    <col min="12" max="12" width="8.5703125" customWidth="1"/>
    <col min="13" max="13" width="8.140625" customWidth="1"/>
  </cols>
  <sheetData>
    <row r="1" spans="1:13" ht="23.25" thickBot="1">
      <c r="B1" s="12" t="s">
        <v>26</v>
      </c>
      <c r="I1" s="20" t="s">
        <v>10</v>
      </c>
      <c r="K1" s="13" t="s">
        <v>11</v>
      </c>
    </row>
    <row r="2" spans="1:13" ht="18.75" thickBot="1">
      <c r="A2" s="14"/>
      <c r="C2" s="33" t="s">
        <v>12</v>
      </c>
      <c r="D2" s="34"/>
      <c r="E2" s="35"/>
      <c r="G2" s="15" t="s">
        <v>13</v>
      </c>
      <c r="H2" s="36" t="s">
        <v>14</v>
      </c>
      <c r="I2" s="37"/>
      <c r="J2" s="38" t="s">
        <v>25</v>
      </c>
      <c r="K2" s="39"/>
    </row>
    <row r="3" spans="1:13" ht="18.75" thickBot="1">
      <c r="A3" s="16" t="s">
        <v>15</v>
      </c>
      <c r="B3" s="17" t="s">
        <v>16</v>
      </c>
      <c r="C3" s="40" t="s">
        <v>17</v>
      </c>
      <c r="D3" s="41"/>
      <c r="E3" s="42" t="s">
        <v>18</v>
      </c>
      <c r="F3" s="43"/>
      <c r="G3" s="44"/>
      <c r="I3" s="18" t="s">
        <v>19</v>
      </c>
      <c r="J3" s="19">
        <v>4</v>
      </c>
    </row>
    <row r="4" spans="1:13" ht="81">
      <c r="A4" s="30" t="s">
        <v>4</v>
      </c>
      <c r="B4" s="31" t="s">
        <v>0</v>
      </c>
      <c r="C4" s="2" t="s">
        <v>7</v>
      </c>
      <c r="D4" s="2" t="s">
        <v>5</v>
      </c>
      <c r="E4" s="2" t="s">
        <v>6</v>
      </c>
      <c r="F4" s="2" t="s">
        <v>1</v>
      </c>
      <c r="G4" s="2" t="s">
        <v>2</v>
      </c>
      <c r="H4" s="2" t="s">
        <v>3</v>
      </c>
      <c r="I4" s="22" t="s">
        <v>21</v>
      </c>
      <c r="J4" s="26" t="s">
        <v>22</v>
      </c>
      <c r="K4" s="5" t="s">
        <v>20</v>
      </c>
      <c r="L4" s="6" t="s">
        <v>8</v>
      </c>
      <c r="M4" s="7" t="s">
        <v>9</v>
      </c>
    </row>
    <row r="5" spans="1:13">
      <c r="A5" s="30"/>
      <c r="B5" s="32"/>
      <c r="C5" s="2">
        <v>20</v>
      </c>
      <c r="D5" s="2">
        <v>20</v>
      </c>
      <c r="E5" s="2">
        <v>20</v>
      </c>
      <c r="F5" s="3">
        <v>20</v>
      </c>
      <c r="G5" s="3">
        <v>20</v>
      </c>
      <c r="H5" s="3">
        <v>20</v>
      </c>
      <c r="I5" s="23">
        <v>40</v>
      </c>
      <c r="J5" s="4">
        <v>20</v>
      </c>
      <c r="K5" s="11">
        <v>60</v>
      </c>
      <c r="L5" s="25">
        <v>20</v>
      </c>
      <c r="M5" s="25">
        <v>80</v>
      </c>
    </row>
    <row r="6" spans="1:13" ht="15.75">
      <c r="A6" s="1">
        <v>1</v>
      </c>
      <c r="B6" s="29" t="s">
        <v>24</v>
      </c>
      <c r="C6" s="28" t="s">
        <v>23</v>
      </c>
      <c r="D6" s="28">
        <v>18.5</v>
      </c>
      <c r="E6" s="28" t="s">
        <v>23</v>
      </c>
      <c r="F6" s="21"/>
      <c r="G6" s="21"/>
      <c r="H6" s="21"/>
      <c r="I6" s="24" t="str">
        <f>IF(ISBLANK(F6)," ",2*AVERAGE(F6:H6))</f>
        <v xml:space="preserve"> </v>
      </c>
      <c r="J6" s="21"/>
      <c r="K6" s="8">
        <f t="shared" ref="K6:K41" si="0">IF(ISBLANK(B6)," ",J6*3)</f>
        <v>0</v>
      </c>
      <c r="L6" s="9" t="e">
        <f>IF(ISBLANK(B6)," ",(K6+I6)/5)</f>
        <v>#VALUE!</v>
      </c>
      <c r="M6" s="10" t="e">
        <f t="shared" ref="M6:M41" si="1">IF(ISBLANK(L6)," ",L6*4)</f>
        <v>#VALUE!</v>
      </c>
    </row>
    <row r="7" spans="1:13" ht="15.75">
      <c r="A7" s="1">
        <v>2</v>
      </c>
      <c r="B7" s="29" t="s">
        <v>24</v>
      </c>
      <c r="C7" s="28">
        <v>8</v>
      </c>
      <c r="D7" s="28">
        <v>13</v>
      </c>
      <c r="E7" s="28" t="s">
        <v>23</v>
      </c>
      <c r="F7" s="21"/>
      <c r="G7" s="21"/>
      <c r="H7" s="21"/>
      <c r="I7" s="24" t="str">
        <f t="shared" ref="I7:I41" si="2">IF(ISBLANK(F7)," ",2*AVERAGE(F7:H7))</f>
        <v xml:space="preserve"> </v>
      </c>
      <c r="J7" s="21"/>
      <c r="K7" s="8">
        <f t="shared" si="0"/>
        <v>0</v>
      </c>
      <c r="L7" s="9" t="e">
        <f t="shared" ref="L7:L41" si="3">IF(ISBLANK(B7)," ",(K7+I7)/5)</f>
        <v>#VALUE!</v>
      </c>
      <c r="M7" s="10" t="e">
        <f t="shared" si="1"/>
        <v>#VALUE!</v>
      </c>
    </row>
    <row r="8" spans="1:13" ht="15.75">
      <c r="A8" s="1">
        <v>3</v>
      </c>
      <c r="B8" s="29" t="s">
        <v>24</v>
      </c>
      <c r="C8" s="28">
        <v>20</v>
      </c>
      <c r="D8" s="28" t="s">
        <v>23</v>
      </c>
      <c r="E8" s="28">
        <v>18</v>
      </c>
      <c r="F8" s="21"/>
      <c r="G8" s="21"/>
      <c r="H8" s="21"/>
      <c r="I8" s="24" t="str">
        <f t="shared" si="2"/>
        <v xml:space="preserve"> </v>
      </c>
      <c r="J8" s="21"/>
      <c r="K8" s="8">
        <f t="shared" si="0"/>
        <v>0</v>
      </c>
      <c r="L8" s="9" t="e">
        <f t="shared" si="3"/>
        <v>#VALUE!</v>
      </c>
      <c r="M8" s="10" t="e">
        <f t="shared" si="1"/>
        <v>#VALUE!</v>
      </c>
    </row>
    <row r="9" spans="1:13" ht="15.75">
      <c r="A9" s="1">
        <v>4</v>
      </c>
      <c r="B9" s="29" t="s">
        <v>24</v>
      </c>
      <c r="C9" s="28">
        <v>8</v>
      </c>
      <c r="D9" s="28">
        <v>10</v>
      </c>
      <c r="E9" s="28">
        <v>11</v>
      </c>
      <c r="F9" s="21"/>
      <c r="G9" s="21"/>
      <c r="H9" s="21"/>
      <c r="I9" s="24" t="str">
        <f t="shared" si="2"/>
        <v xml:space="preserve"> </v>
      </c>
      <c r="J9" s="21"/>
      <c r="K9" s="8">
        <f t="shared" si="0"/>
        <v>0</v>
      </c>
      <c r="L9" s="9" t="e">
        <f t="shared" si="3"/>
        <v>#VALUE!</v>
      </c>
      <c r="M9" s="10" t="e">
        <f t="shared" si="1"/>
        <v>#VALUE!</v>
      </c>
    </row>
    <row r="10" spans="1:13" ht="15.75">
      <c r="A10" s="1">
        <v>5</v>
      </c>
      <c r="B10" s="29" t="s">
        <v>24</v>
      </c>
      <c r="C10" s="28">
        <v>17.5</v>
      </c>
      <c r="D10" s="28" t="s">
        <v>23</v>
      </c>
      <c r="E10" s="28">
        <v>19</v>
      </c>
      <c r="F10" s="21"/>
      <c r="G10" s="21"/>
      <c r="H10" s="21"/>
      <c r="I10" s="24" t="str">
        <f t="shared" si="2"/>
        <v xml:space="preserve"> </v>
      </c>
      <c r="J10" s="21"/>
      <c r="K10" s="8">
        <f t="shared" si="0"/>
        <v>0</v>
      </c>
      <c r="L10" s="9" t="e">
        <f t="shared" si="3"/>
        <v>#VALUE!</v>
      </c>
      <c r="M10" s="10" t="e">
        <f t="shared" si="1"/>
        <v>#VALUE!</v>
      </c>
    </row>
    <row r="11" spans="1:13" ht="15.75">
      <c r="A11" s="1">
        <v>6</v>
      </c>
      <c r="B11" s="29" t="s">
        <v>24</v>
      </c>
      <c r="C11" s="28">
        <v>8</v>
      </c>
      <c r="D11" s="28">
        <v>15</v>
      </c>
      <c r="E11" s="28">
        <v>12.5</v>
      </c>
      <c r="F11" s="21"/>
      <c r="G11" s="21"/>
      <c r="H11" s="21"/>
      <c r="I11" s="24" t="str">
        <f t="shared" si="2"/>
        <v xml:space="preserve"> </v>
      </c>
      <c r="J11" s="21"/>
      <c r="K11" s="8">
        <f t="shared" si="0"/>
        <v>0</v>
      </c>
      <c r="L11" s="9" t="e">
        <f t="shared" si="3"/>
        <v>#VALUE!</v>
      </c>
      <c r="M11" s="10" t="e">
        <f t="shared" si="1"/>
        <v>#VALUE!</v>
      </c>
    </row>
    <row r="12" spans="1:13" ht="15.75">
      <c r="A12" s="1">
        <v>7</v>
      </c>
      <c r="B12" s="29" t="s">
        <v>24</v>
      </c>
      <c r="C12" s="28">
        <v>15.5</v>
      </c>
      <c r="D12" s="28">
        <v>15</v>
      </c>
      <c r="E12" s="28">
        <v>12.5</v>
      </c>
      <c r="F12" s="21"/>
      <c r="G12" s="21"/>
      <c r="H12" s="21"/>
      <c r="I12" s="24" t="str">
        <f t="shared" si="2"/>
        <v xml:space="preserve"> </v>
      </c>
      <c r="J12" s="21"/>
      <c r="K12" s="8">
        <f t="shared" si="0"/>
        <v>0</v>
      </c>
      <c r="L12" s="9" t="e">
        <f t="shared" si="3"/>
        <v>#VALUE!</v>
      </c>
      <c r="M12" s="10" t="e">
        <f t="shared" si="1"/>
        <v>#VALUE!</v>
      </c>
    </row>
    <row r="13" spans="1:13" ht="15.75">
      <c r="A13" s="1">
        <v>8</v>
      </c>
      <c r="B13" s="29" t="s">
        <v>24</v>
      </c>
      <c r="C13" s="28">
        <v>10</v>
      </c>
      <c r="D13" s="28">
        <v>17</v>
      </c>
      <c r="E13" s="28">
        <v>12.5</v>
      </c>
      <c r="F13" s="21"/>
      <c r="G13" s="21"/>
      <c r="H13" s="21"/>
      <c r="I13" s="24" t="str">
        <f t="shared" si="2"/>
        <v xml:space="preserve"> </v>
      </c>
      <c r="J13" s="21"/>
      <c r="K13" s="8">
        <f t="shared" si="0"/>
        <v>0</v>
      </c>
      <c r="L13" s="9" t="e">
        <f t="shared" si="3"/>
        <v>#VALUE!</v>
      </c>
      <c r="M13" s="10" t="e">
        <f t="shared" si="1"/>
        <v>#VALUE!</v>
      </c>
    </row>
    <row r="14" spans="1:13" ht="15.75">
      <c r="A14" s="1">
        <v>9</v>
      </c>
      <c r="B14" s="29" t="s">
        <v>24</v>
      </c>
      <c r="C14" s="28">
        <v>16.5</v>
      </c>
      <c r="D14" s="28">
        <v>14</v>
      </c>
      <c r="E14" s="28">
        <v>14</v>
      </c>
      <c r="F14" s="21"/>
      <c r="G14" s="21"/>
      <c r="H14" s="21"/>
      <c r="I14" s="24" t="str">
        <f t="shared" si="2"/>
        <v xml:space="preserve"> </v>
      </c>
      <c r="J14" s="21"/>
      <c r="K14" s="8">
        <f t="shared" si="0"/>
        <v>0</v>
      </c>
      <c r="L14" s="9" t="e">
        <f t="shared" si="3"/>
        <v>#VALUE!</v>
      </c>
      <c r="M14" s="10" t="e">
        <f t="shared" si="1"/>
        <v>#VALUE!</v>
      </c>
    </row>
    <row r="15" spans="1:13" ht="15.75">
      <c r="A15" s="1">
        <v>10</v>
      </c>
      <c r="B15" s="29" t="s">
        <v>24</v>
      </c>
      <c r="C15" s="28">
        <v>14</v>
      </c>
      <c r="D15" s="28">
        <v>15</v>
      </c>
      <c r="E15" s="28">
        <v>6</v>
      </c>
      <c r="F15" s="21"/>
      <c r="G15" s="21"/>
      <c r="H15" s="21"/>
      <c r="I15" s="24" t="str">
        <f t="shared" si="2"/>
        <v xml:space="preserve"> </v>
      </c>
      <c r="J15" s="21"/>
      <c r="K15" s="8">
        <f t="shared" si="0"/>
        <v>0</v>
      </c>
      <c r="L15" s="9" t="e">
        <f t="shared" si="3"/>
        <v>#VALUE!</v>
      </c>
      <c r="M15" s="10" t="e">
        <f t="shared" si="1"/>
        <v>#VALUE!</v>
      </c>
    </row>
    <row r="16" spans="1:13" ht="15.75">
      <c r="A16" s="1">
        <v>11</v>
      </c>
      <c r="B16" s="29" t="s">
        <v>24</v>
      </c>
      <c r="C16" s="28">
        <v>19</v>
      </c>
      <c r="D16" s="28">
        <v>15</v>
      </c>
      <c r="E16" s="28">
        <v>18.5</v>
      </c>
      <c r="F16" s="21"/>
      <c r="G16" s="21"/>
      <c r="H16" s="21"/>
      <c r="I16" s="24" t="str">
        <f t="shared" si="2"/>
        <v xml:space="preserve"> </v>
      </c>
      <c r="J16" s="21"/>
      <c r="K16" s="8">
        <f t="shared" si="0"/>
        <v>0</v>
      </c>
      <c r="L16" s="9" t="e">
        <f t="shared" si="3"/>
        <v>#VALUE!</v>
      </c>
      <c r="M16" s="10" t="e">
        <f t="shared" si="1"/>
        <v>#VALUE!</v>
      </c>
    </row>
    <row r="17" spans="1:13" ht="15.75">
      <c r="A17" s="1">
        <v>12</v>
      </c>
      <c r="B17" s="29" t="s">
        <v>24</v>
      </c>
      <c r="C17" s="28">
        <v>7.5</v>
      </c>
      <c r="D17" s="28" t="s">
        <v>23</v>
      </c>
      <c r="E17" s="28">
        <v>13</v>
      </c>
      <c r="F17" s="21"/>
      <c r="G17" s="21"/>
      <c r="H17" s="21"/>
      <c r="I17" s="24" t="str">
        <f t="shared" si="2"/>
        <v xml:space="preserve"> </v>
      </c>
      <c r="J17" s="21"/>
      <c r="K17" s="8">
        <f t="shared" si="0"/>
        <v>0</v>
      </c>
      <c r="L17" s="9" t="e">
        <f t="shared" si="3"/>
        <v>#VALUE!</v>
      </c>
      <c r="M17" s="10" t="e">
        <f t="shared" si="1"/>
        <v>#VALUE!</v>
      </c>
    </row>
    <row r="18" spans="1:13" ht="15.75">
      <c r="A18" s="1">
        <v>13</v>
      </c>
      <c r="B18" s="29" t="s">
        <v>24</v>
      </c>
      <c r="C18" s="28">
        <v>14.5</v>
      </c>
      <c r="D18" s="28">
        <v>16.5</v>
      </c>
      <c r="E18" s="28">
        <v>9</v>
      </c>
      <c r="F18" s="21"/>
      <c r="G18" s="21"/>
      <c r="H18" s="21"/>
      <c r="I18" s="24" t="str">
        <f t="shared" si="2"/>
        <v xml:space="preserve"> </v>
      </c>
      <c r="J18" s="21"/>
      <c r="K18" s="8">
        <f t="shared" si="0"/>
        <v>0</v>
      </c>
      <c r="L18" s="9" t="e">
        <f t="shared" si="3"/>
        <v>#VALUE!</v>
      </c>
      <c r="M18" s="10" t="e">
        <f t="shared" si="1"/>
        <v>#VALUE!</v>
      </c>
    </row>
    <row r="19" spans="1:13" ht="15.75">
      <c r="A19" s="1">
        <v>14</v>
      </c>
      <c r="B19" s="29" t="s">
        <v>24</v>
      </c>
      <c r="C19" s="28">
        <v>19</v>
      </c>
      <c r="D19" s="28">
        <v>19</v>
      </c>
      <c r="E19" s="28">
        <v>19</v>
      </c>
      <c r="F19" s="21"/>
      <c r="G19" s="21"/>
      <c r="H19" s="21"/>
      <c r="I19" s="24" t="str">
        <f t="shared" si="2"/>
        <v xml:space="preserve"> </v>
      </c>
      <c r="J19" s="21"/>
      <c r="K19" s="8">
        <f t="shared" si="0"/>
        <v>0</v>
      </c>
      <c r="L19" s="9" t="e">
        <f t="shared" si="3"/>
        <v>#VALUE!</v>
      </c>
      <c r="M19" s="10" t="e">
        <f t="shared" si="1"/>
        <v>#VALUE!</v>
      </c>
    </row>
    <row r="20" spans="1:13" ht="20.25" customHeight="1">
      <c r="A20" s="1">
        <v>15</v>
      </c>
      <c r="B20" s="29" t="s">
        <v>24</v>
      </c>
      <c r="C20" s="28">
        <v>19</v>
      </c>
      <c r="D20" s="28">
        <v>17.5</v>
      </c>
      <c r="E20" s="28">
        <v>20</v>
      </c>
      <c r="F20" s="21"/>
      <c r="G20" s="21"/>
      <c r="H20" s="21"/>
      <c r="I20" s="24" t="str">
        <f t="shared" si="2"/>
        <v xml:space="preserve"> </v>
      </c>
      <c r="J20" s="21"/>
      <c r="K20" s="8">
        <f t="shared" si="0"/>
        <v>0</v>
      </c>
      <c r="L20" s="9" t="e">
        <f t="shared" si="3"/>
        <v>#VALUE!</v>
      </c>
      <c r="M20" s="10" t="e">
        <f t="shared" si="1"/>
        <v>#VALUE!</v>
      </c>
    </row>
    <row r="21" spans="1:13" ht="18" customHeight="1">
      <c r="A21" s="1">
        <v>16</v>
      </c>
      <c r="B21" s="29" t="s">
        <v>24</v>
      </c>
      <c r="C21" s="28" t="s">
        <v>23</v>
      </c>
      <c r="D21" s="28" t="s">
        <v>23</v>
      </c>
      <c r="E21" s="28">
        <v>10</v>
      </c>
      <c r="F21" s="21"/>
      <c r="G21" s="21"/>
      <c r="H21" s="21"/>
      <c r="I21" s="24" t="str">
        <f t="shared" si="2"/>
        <v xml:space="preserve"> </v>
      </c>
      <c r="J21" s="21"/>
      <c r="K21" s="8">
        <f t="shared" si="0"/>
        <v>0</v>
      </c>
      <c r="L21" s="9" t="e">
        <f t="shared" si="3"/>
        <v>#VALUE!</v>
      </c>
      <c r="M21" s="10" t="e">
        <f t="shared" si="1"/>
        <v>#VALUE!</v>
      </c>
    </row>
    <row r="22" spans="1:13" ht="15.75">
      <c r="A22" s="1">
        <v>17</v>
      </c>
      <c r="B22" s="29" t="s">
        <v>24</v>
      </c>
      <c r="C22" s="28">
        <v>15.5</v>
      </c>
      <c r="D22" s="28">
        <v>17.5</v>
      </c>
      <c r="E22" s="28">
        <v>10.5</v>
      </c>
      <c r="F22" s="21"/>
      <c r="G22" s="21"/>
      <c r="H22" s="21"/>
      <c r="I22" s="24" t="str">
        <f t="shared" si="2"/>
        <v xml:space="preserve"> </v>
      </c>
      <c r="J22" s="21"/>
      <c r="K22" s="8">
        <f t="shared" si="0"/>
        <v>0</v>
      </c>
      <c r="L22" s="9" t="e">
        <f t="shared" si="3"/>
        <v>#VALUE!</v>
      </c>
      <c r="M22" s="10" t="e">
        <f t="shared" si="1"/>
        <v>#VALUE!</v>
      </c>
    </row>
    <row r="23" spans="1:13" ht="15.75">
      <c r="A23" s="1">
        <v>18</v>
      </c>
      <c r="B23" s="29" t="s">
        <v>24</v>
      </c>
      <c r="C23" s="28">
        <v>8.5</v>
      </c>
      <c r="D23" s="28">
        <v>13</v>
      </c>
      <c r="E23" s="28">
        <v>11</v>
      </c>
      <c r="F23" s="21"/>
      <c r="G23" s="21"/>
      <c r="H23" s="21"/>
      <c r="I23" s="24" t="str">
        <f t="shared" si="2"/>
        <v xml:space="preserve"> </v>
      </c>
      <c r="J23" s="21"/>
      <c r="K23" s="8">
        <f t="shared" si="0"/>
        <v>0</v>
      </c>
      <c r="L23" s="9" t="e">
        <f t="shared" si="3"/>
        <v>#VALUE!</v>
      </c>
      <c r="M23" s="10" t="e">
        <f t="shared" si="1"/>
        <v>#VALUE!</v>
      </c>
    </row>
    <row r="24" spans="1:13" ht="15.75">
      <c r="A24" s="1">
        <v>19</v>
      </c>
      <c r="B24" s="29" t="s">
        <v>24</v>
      </c>
      <c r="C24" s="28">
        <v>14</v>
      </c>
      <c r="D24" s="28">
        <v>14</v>
      </c>
      <c r="E24" s="28">
        <v>9</v>
      </c>
      <c r="F24" s="21"/>
      <c r="G24" s="21"/>
      <c r="H24" s="21"/>
      <c r="I24" s="24" t="str">
        <f t="shared" si="2"/>
        <v xml:space="preserve"> </v>
      </c>
      <c r="J24" s="21"/>
      <c r="K24" s="8">
        <f t="shared" si="0"/>
        <v>0</v>
      </c>
      <c r="L24" s="9" t="e">
        <f t="shared" si="3"/>
        <v>#VALUE!</v>
      </c>
      <c r="M24" s="10" t="e">
        <f t="shared" si="1"/>
        <v>#VALUE!</v>
      </c>
    </row>
    <row r="25" spans="1:13" ht="15.75">
      <c r="A25" s="1">
        <v>20</v>
      </c>
      <c r="B25" s="29" t="s">
        <v>24</v>
      </c>
      <c r="C25" s="28">
        <v>5</v>
      </c>
      <c r="D25" s="28">
        <v>12</v>
      </c>
      <c r="E25" s="28">
        <v>10</v>
      </c>
      <c r="F25" s="21"/>
      <c r="G25" s="21"/>
      <c r="H25" s="21"/>
      <c r="I25" s="24" t="str">
        <f t="shared" si="2"/>
        <v xml:space="preserve"> </v>
      </c>
      <c r="J25" s="21"/>
      <c r="K25" s="8">
        <f t="shared" si="0"/>
        <v>0</v>
      </c>
      <c r="L25" s="9" t="e">
        <f t="shared" si="3"/>
        <v>#VALUE!</v>
      </c>
      <c r="M25" s="10" t="e">
        <f t="shared" si="1"/>
        <v>#VALUE!</v>
      </c>
    </row>
    <row r="26" spans="1:13" ht="15.75">
      <c r="A26" s="1">
        <v>21</v>
      </c>
      <c r="B26" s="29" t="s">
        <v>24</v>
      </c>
      <c r="C26" s="28">
        <v>10.5</v>
      </c>
      <c r="D26" s="28">
        <v>13</v>
      </c>
      <c r="E26" s="28" t="s">
        <v>23</v>
      </c>
      <c r="F26" s="21"/>
      <c r="G26" s="21"/>
      <c r="H26" s="21"/>
      <c r="I26" s="24" t="str">
        <f t="shared" si="2"/>
        <v xml:space="preserve"> </v>
      </c>
      <c r="J26" s="21"/>
      <c r="K26" s="8">
        <f t="shared" si="0"/>
        <v>0</v>
      </c>
      <c r="L26" s="9" t="e">
        <f t="shared" si="3"/>
        <v>#VALUE!</v>
      </c>
      <c r="M26" s="10" t="e">
        <f t="shared" si="1"/>
        <v>#VALUE!</v>
      </c>
    </row>
    <row r="27" spans="1:13" ht="15.75">
      <c r="A27" s="1">
        <v>22</v>
      </c>
      <c r="B27" s="29" t="s">
        <v>24</v>
      </c>
      <c r="C27" s="28">
        <v>3</v>
      </c>
      <c r="D27" s="28">
        <v>14</v>
      </c>
      <c r="E27" s="28" t="s">
        <v>23</v>
      </c>
      <c r="F27" s="21"/>
      <c r="G27" s="21"/>
      <c r="H27" s="21"/>
      <c r="I27" s="24" t="str">
        <f t="shared" si="2"/>
        <v xml:space="preserve"> </v>
      </c>
      <c r="J27" s="21"/>
      <c r="K27" s="8">
        <f t="shared" si="0"/>
        <v>0</v>
      </c>
      <c r="L27" s="9" t="e">
        <f t="shared" si="3"/>
        <v>#VALUE!</v>
      </c>
      <c r="M27" s="10" t="e">
        <f t="shared" si="1"/>
        <v>#VALUE!</v>
      </c>
    </row>
    <row r="28" spans="1:13" ht="15.75">
      <c r="A28" s="1">
        <v>23</v>
      </c>
      <c r="B28" s="29" t="s">
        <v>24</v>
      </c>
      <c r="C28" s="28">
        <v>9</v>
      </c>
      <c r="D28" s="28">
        <v>14</v>
      </c>
      <c r="E28" s="28" t="s">
        <v>23</v>
      </c>
      <c r="F28" s="21"/>
      <c r="G28" s="21"/>
      <c r="H28" s="21"/>
      <c r="I28" s="24" t="str">
        <f t="shared" si="2"/>
        <v xml:space="preserve"> </v>
      </c>
      <c r="J28" s="21"/>
      <c r="K28" s="8">
        <f t="shared" si="0"/>
        <v>0</v>
      </c>
      <c r="L28" s="9" t="e">
        <f t="shared" si="3"/>
        <v>#VALUE!</v>
      </c>
      <c r="M28" s="10" t="e">
        <f t="shared" si="1"/>
        <v>#VALUE!</v>
      </c>
    </row>
    <row r="29" spans="1:13" ht="15.75">
      <c r="A29" s="1">
        <v>24</v>
      </c>
      <c r="B29" s="29" t="s">
        <v>24</v>
      </c>
      <c r="C29" s="28">
        <v>8</v>
      </c>
      <c r="D29" s="28">
        <v>16</v>
      </c>
      <c r="E29" s="28">
        <v>12</v>
      </c>
      <c r="F29" s="21"/>
      <c r="G29" s="21"/>
      <c r="H29" s="21"/>
      <c r="I29" s="24" t="str">
        <f t="shared" si="2"/>
        <v xml:space="preserve"> </v>
      </c>
      <c r="J29" s="21"/>
      <c r="K29" s="8">
        <f t="shared" si="0"/>
        <v>0</v>
      </c>
      <c r="L29" s="9" t="e">
        <f t="shared" si="3"/>
        <v>#VALUE!</v>
      </c>
      <c r="M29" s="10" t="e">
        <f t="shared" si="1"/>
        <v>#VALUE!</v>
      </c>
    </row>
    <row r="30" spans="1:13" ht="15.75">
      <c r="A30" s="1">
        <v>25</v>
      </c>
      <c r="B30" s="29" t="s">
        <v>24</v>
      </c>
      <c r="C30" s="28">
        <v>13.5</v>
      </c>
      <c r="D30" s="28">
        <v>16</v>
      </c>
      <c r="E30" s="28">
        <v>14</v>
      </c>
      <c r="F30" s="21"/>
      <c r="G30" s="21"/>
      <c r="H30" s="21"/>
      <c r="I30" s="24" t="str">
        <f t="shared" si="2"/>
        <v xml:space="preserve"> </v>
      </c>
      <c r="J30" s="21"/>
      <c r="K30" s="8">
        <f t="shared" si="0"/>
        <v>0</v>
      </c>
      <c r="L30" s="9" t="e">
        <f t="shared" si="3"/>
        <v>#VALUE!</v>
      </c>
      <c r="M30" s="10" t="e">
        <f t="shared" si="1"/>
        <v>#VALUE!</v>
      </c>
    </row>
    <row r="31" spans="1:13" ht="15.75">
      <c r="A31" s="1">
        <v>26</v>
      </c>
      <c r="B31" s="29" t="s">
        <v>24</v>
      </c>
      <c r="C31" s="28">
        <v>8</v>
      </c>
      <c r="D31" s="28">
        <v>16.5</v>
      </c>
      <c r="E31" s="28">
        <v>10</v>
      </c>
      <c r="F31" s="21"/>
      <c r="G31" s="21"/>
      <c r="H31" s="21"/>
      <c r="I31" s="24" t="str">
        <f t="shared" si="2"/>
        <v xml:space="preserve"> </v>
      </c>
      <c r="J31" s="21"/>
      <c r="K31" s="8">
        <f t="shared" si="0"/>
        <v>0</v>
      </c>
      <c r="L31" s="9" t="e">
        <f t="shared" si="3"/>
        <v>#VALUE!</v>
      </c>
      <c r="M31" s="10" t="e">
        <f t="shared" si="1"/>
        <v>#VALUE!</v>
      </c>
    </row>
    <row r="32" spans="1:13" ht="15.75">
      <c r="A32" s="1">
        <v>27</v>
      </c>
      <c r="B32" s="29" t="s">
        <v>24</v>
      </c>
      <c r="C32" s="28" t="s">
        <v>23</v>
      </c>
      <c r="D32" s="28">
        <v>17</v>
      </c>
      <c r="E32" s="28">
        <v>10.5</v>
      </c>
      <c r="F32" s="21"/>
      <c r="G32" s="21"/>
      <c r="H32" s="21"/>
      <c r="I32" s="24" t="str">
        <f t="shared" si="2"/>
        <v xml:space="preserve"> </v>
      </c>
      <c r="J32" s="21"/>
      <c r="K32" s="8">
        <f t="shared" si="0"/>
        <v>0</v>
      </c>
      <c r="L32" s="9" t="e">
        <f t="shared" si="3"/>
        <v>#VALUE!</v>
      </c>
      <c r="M32" s="10" t="e">
        <f t="shared" si="1"/>
        <v>#VALUE!</v>
      </c>
    </row>
    <row r="33" spans="1:13" ht="15.75">
      <c r="A33" s="1">
        <v>28</v>
      </c>
      <c r="B33" s="29" t="s">
        <v>24</v>
      </c>
      <c r="C33" s="28" t="s">
        <v>23</v>
      </c>
      <c r="D33" s="28">
        <v>15</v>
      </c>
      <c r="E33" s="28" t="s">
        <v>23</v>
      </c>
      <c r="F33" s="21"/>
      <c r="G33" s="21"/>
      <c r="H33" s="21"/>
      <c r="I33" s="24" t="str">
        <f t="shared" si="2"/>
        <v xml:space="preserve"> </v>
      </c>
      <c r="J33" s="21"/>
      <c r="K33" s="8">
        <f t="shared" si="0"/>
        <v>0</v>
      </c>
      <c r="L33" s="9" t="e">
        <f t="shared" si="3"/>
        <v>#VALUE!</v>
      </c>
      <c r="M33" s="10" t="e">
        <f t="shared" si="1"/>
        <v>#VALUE!</v>
      </c>
    </row>
    <row r="34" spans="1:13" ht="15.75">
      <c r="A34" s="1">
        <v>29</v>
      </c>
      <c r="B34" s="29" t="s">
        <v>24</v>
      </c>
      <c r="C34" s="28">
        <v>2</v>
      </c>
      <c r="D34" s="28">
        <v>8.5</v>
      </c>
      <c r="E34" s="28">
        <v>19.5</v>
      </c>
      <c r="F34" s="21"/>
      <c r="G34" s="21"/>
      <c r="H34" s="21"/>
      <c r="I34" s="24" t="str">
        <f t="shared" si="2"/>
        <v xml:space="preserve"> </v>
      </c>
      <c r="J34" s="21"/>
      <c r="K34" s="8">
        <f t="shared" si="0"/>
        <v>0</v>
      </c>
      <c r="L34" s="9" t="e">
        <f t="shared" si="3"/>
        <v>#VALUE!</v>
      </c>
      <c r="M34" s="10" t="e">
        <f t="shared" si="1"/>
        <v>#VALUE!</v>
      </c>
    </row>
    <row r="35" spans="1:13" ht="20.100000000000001" customHeight="1">
      <c r="A35" s="1">
        <v>30</v>
      </c>
      <c r="B35" s="29" t="s">
        <v>24</v>
      </c>
      <c r="C35" s="28" t="s">
        <v>23</v>
      </c>
      <c r="D35" s="28">
        <v>4</v>
      </c>
      <c r="E35" s="28">
        <v>4</v>
      </c>
      <c r="F35" s="21"/>
      <c r="G35" s="21"/>
      <c r="H35" s="21"/>
      <c r="I35" s="24" t="str">
        <f t="shared" si="2"/>
        <v xml:space="preserve"> </v>
      </c>
      <c r="J35" s="21"/>
      <c r="K35" s="8">
        <f t="shared" si="0"/>
        <v>0</v>
      </c>
      <c r="L35" s="9" t="e">
        <f t="shared" si="3"/>
        <v>#VALUE!</v>
      </c>
      <c r="M35" s="10" t="e">
        <f t="shared" si="1"/>
        <v>#VALUE!</v>
      </c>
    </row>
    <row r="36" spans="1:13" ht="20.100000000000001" customHeight="1">
      <c r="A36" s="1">
        <v>31</v>
      </c>
      <c r="B36" s="29" t="s">
        <v>24</v>
      </c>
      <c r="C36" s="28">
        <v>5</v>
      </c>
      <c r="D36" s="28">
        <v>13.5</v>
      </c>
      <c r="E36" s="28">
        <v>9</v>
      </c>
      <c r="F36" s="21"/>
      <c r="G36" s="21"/>
      <c r="H36" s="21"/>
      <c r="I36" s="24" t="str">
        <f t="shared" si="2"/>
        <v xml:space="preserve"> </v>
      </c>
      <c r="J36" s="21"/>
      <c r="K36" s="8">
        <f t="shared" si="0"/>
        <v>0</v>
      </c>
      <c r="L36" s="9" t="e">
        <f t="shared" si="3"/>
        <v>#VALUE!</v>
      </c>
      <c r="M36" s="10" t="e">
        <f t="shared" si="1"/>
        <v>#VALUE!</v>
      </c>
    </row>
    <row r="37" spans="1:13" ht="15.75">
      <c r="A37" s="1">
        <v>32</v>
      </c>
      <c r="B37" s="29" t="s">
        <v>24</v>
      </c>
      <c r="C37" s="28">
        <v>13</v>
      </c>
      <c r="D37" s="28">
        <v>16</v>
      </c>
      <c r="E37" s="28">
        <v>19</v>
      </c>
      <c r="F37" s="21"/>
      <c r="G37" s="21"/>
      <c r="H37" s="21"/>
      <c r="I37" s="24" t="str">
        <f t="shared" si="2"/>
        <v xml:space="preserve"> </v>
      </c>
      <c r="J37" s="21"/>
      <c r="K37" s="8">
        <f t="shared" si="0"/>
        <v>0</v>
      </c>
      <c r="L37" s="9" t="e">
        <f t="shared" si="3"/>
        <v>#VALUE!</v>
      </c>
      <c r="M37" s="10" t="e">
        <f t="shared" si="1"/>
        <v>#VALUE!</v>
      </c>
    </row>
    <row r="38" spans="1:13" ht="15.75">
      <c r="A38" s="1">
        <v>33</v>
      </c>
      <c r="B38" s="29" t="s">
        <v>24</v>
      </c>
      <c r="C38" s="28" t="s">
        <v>23</v>
      </c>
      <c r="D38" s="28">
        <v>13.5</v>
      </c>
      <c r="E38" s="28" t="s">
        <v>23</v>
      </c>
      <c r="F38" s="21"/>
      <c r="G38" s="21"/>
      <c r="H38" s="21"/>
      <c r="I38" s="24" t="str">
        <f t="shared" si="2"/>
        <v xml:space="preserve"> </v>
      </c>
      <c r="J38" s="21"/>
      <c r="K38" s="8">
        <f t="shared" si="0"/>
        <v>0</v>
      </c>
      <c r="L38" s="9" t="e">
        <f t="shared" si="3"/>
        <v>#VALUE!</v>
      </c>
      <c r="M38" s="10" t="e">
        <f t="shared" si="1"/>
        <v>#VALUE!</v>
      </c>
    </row>
    <row r="39" spans="1:13" ht="15.75">
      <c r="A39" s="1">
        <v>34</v>
      </c>
      <c r="B39" s="29" t="s">
        <v>24</v>
      </c>
      <c r="C39" s="28" t="s">
        <v>23</v>
      </c>
      <c r="D39" s="28">
        <v>11.5</v>
      </c>
      <c r="E39" s="28">
        <v>9</v>
      </c>
      <c r="F39" s="21"/>
      <c r="G39" s="21"/>
      <c r="H39" s="21"/>
      <c r="I39" s="24" t="str">
        <f t="shared" si="2"/>
        <v xml:space="preserve"> </v>
      </c>
      <c r="J39" s="21"/>
      <c r="K39" s="8">
        <f t="shared" si="0"/>
        <v>0</v>
      </c>
      <c r="L39" s="9" t="e">
        <f t="shared" si="3"/>
        <v>#VALUE!</v>
      </c>
      <c r="M39" s="10" t="e">
        <f t="shared" si="1"/>
        <v>#VALUE!</v>
      </c>
    </row>
    <row r="40" spans="1:13" ht="15.75">
      <c r="A40" s="1">
        <v>35</v>
      </c>
      <c r="B40" s="29" t="s">
        <v>24</v>
      </c>
      <c r="C40" s="28" t="s">
        <v>23</v>
      </c>
      <c r="D40" s="28">
        <v>10</v>
      </c>
      <c r="E40" s="28">
        <v>17</v>
      </c>
      <c r="F40" s="21"/>
      <c r="G40" s="21"/>
      <c r="H40" s="21"/>
      <c r="I40" s="24" t="str">
        <f t="shared" si="2"/>
        <v xml:space="preserve"> </v>
      </c>
      <c r="J40" s="21"/>
      <c r="K40" s="8">
        <f t="shared" si="0"/>
        <v>0</v>
      </c>
      <c r="L40" s="9" t="e">
        <f t="shared" si="3"/>
        <v>#VALUE!</v>
      </c>
      <c r="M40" s="10" t="e">
        <f t="shared" si="1"/>
        <v>#VALUE!</v>
      </c>
    </row>
    <row r="41" spans="1:13" ht="15.75">
      <c r="A41" s="1">
        <v>36</v>
      </c>
      <c r="B41" s="29" t="s">
        <v>24</v>
      </c>
      <c r="C41" s="28">
        <v>20</v>
      </c>
      <c r="D41" s="28">
        <v>17</v>
      </c>
      <c r="E41" s="28">
        <v>19.5</v>
      </c>
      <c r="F41" s="21"/>
      <c r="G41" s="21"/>
      <c r="H41" s="21"/>
      <c r="I41" s="24" t="str">
        <f t="shared" si="2"/>
        <v xml:space="preserve"> </v>
      </c>
      <c r="J41" s="21"/>
      <c r="K41" s="8">
        <f t="shared" si="0"/>
        <v>0</v>
      </c>
      <c r="L41" s="9" t="e">
        <f t="shared" si="3"/>
        <v>#VALUE!</v>
      </c>
      <c r="M41" s="10" t="e">
        <f t="shared" si="1"/>
        <v>#VALUE!</v>
      </c>
    </row>
    <row r="42" spans="1:13">
      <c r="C42" s="27"/>
    </row>
  </sheetData>
  <protectedRanges>
    <protectedRange sqref="I6:I41" name="Plage1_3"/>
    <protectedRange sqref="K1 J3 E3 B3 J2 B1" name="Plage1_6"/>
    <protectedRange sqref="B6:B41" name="Plage1"/>
  </protectedRanges>
  <mergeCells count="7">
    <mergeCell ref="A4:A5"/>
    <mergeCell ref="B4:B5"/>
    <mergeCell ref="C2:E2"/>
    <mergeCell ref="H2:I2"/>
    <mergeCell ref="J2:K2"/>
    <mergeCell ref="C3:D3"/>
    <mergeCell ref="E3:G3"/>
  </mergeCells>
  <dataValidations count="2">
    <dataValidation type="decimal" allowBlank="1" showInputMessage="1" showErrorMessage="1" sqref="J6:J41">
      <formula1>0</formula1>
      <formula2>note_comp_max</formula2>
    </dataValidation>
    <dataValidation type="decimal" allowBlank="1" showInputMessage="1" showErrorMessage="1" sqref="F6:I41">
      <formula1>0</formula1>
      <formula2>22</formula2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>
      <selection activeCell="A2" sqref="A2:XFD2"/>
    </sheetView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2015-12-11T14:44:11Z</dcterms:modified>
</cp:coreProperties>
</file>