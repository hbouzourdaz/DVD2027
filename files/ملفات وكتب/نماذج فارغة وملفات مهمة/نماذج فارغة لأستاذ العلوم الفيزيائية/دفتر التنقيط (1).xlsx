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xl/commentsmeta1" ContentType="application/binary"/>
  <Override PartName="xl/comments2.xml" ContentType="application/vnd.openxmlformats-officedocument.spreadsheetml.comments+xml"/>
  <Override PartName="xl/worksheets/xl/commentsmeta1" ContentType="application/binary"/>
  <Override PartName="xl/drawings/vmlDrawing2.vml" ContentType="application/vnd.openxmlformats-officedocument.vmlDrawing"/>
  <Override PartName="xl/comments3.xml" ContentType="application/vnd.openxmlformats-officedocument.spreadsheetml.comments+xml"/>
  <Override PartName="xl/worksheets/xl/commentsmeta2" ContentType="application/binary"/>
  <Override PartName="xl/drawings/vmlDrawing3.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lowestEdited="4" appName="xl" rupBuild="14420" lastEdited="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workbookProtection workbookHashValue="2ZZyx6GND6EcltsK6aqxQ4wm8CuZU96h7TrV2dp/I/oZNMSGBrQGLLvZaybDKJaRvvjcDajvq39ZXalQ26v0kA==" workbookAlgorithmName="SHA-512" workbookSaltValue="xjSYxRNZbZ8jn36iSjFBLA==" workbookSpinCount="100000" lockStructure="1"/>
  <bookViews>
    <workbookView xWindow="240" windowHeight="7935" tabRatio="594" yWindow="60" windowWidth="19320"/>
  </bookViews>
  <sheets>
    <sheet name="نتائج القسم" sheetId="1" r:id="rId1"/>
    <sheet name="نتائج فردية" sheetId="2" r:id="rId2"/>
    <sheet name="اعداد" sheetId="3" r:id="rId3"/>
  </sheets>
  <definedNames>
    <definedName localSheetId="0" name="_xlnm.Print_Area">'نتائج القسم'!$A$1:$K$61</definedName>
    <definedName localSheetId="1" name="_xlnm.Print_Area">'نتائج فردية'!$G$21</definedName>
  </definedNames>
  <calcPr calcId="152511"/>
  <extLst>
    <ext uri="smNativeData">
      <pm:revision xmlns:pm="smNativeData" val="741" rev="120" day="1462819307"/>
      <pm:docPrefs xmlns:pm="smNativeData" fixedDigits="0" printArea="currentSheet" useDefinedPrintRange="1" recalcOnPrint="1" recalcOnCopy="1" tab="567" showFrameBounds="1" showNotice="1" autoChart="1" id="1462819307" finalRounding="1" compatTextArt="1"/>
      <pm:compatibility xmlns:pm="smNativeData" overlapCells="1" id="1462819307"/>
      <pm:defCurrency xmlns:pm="smNativeData" id="1462819307"/>
      <pm:trialVersion xmlns:pm="smNativeData" val="193056726" id="1462819307"/>
    </ext>
    <ext uri="GoogleSheetsCustomDataVersion1">
      <go:sheetsCustomData xmlns:go="http://customooxmlschemas.google.com/" roundtripDataSignature="AMtx7mjCpuqZL+OMV4o+700KrCHpW7sH3A==" r:id="rId8"/>
    </ext>
  </extLst>
</workbook>
</file>

<file path=xl/calcChain.xml><?xml version="1.0" encoding="utf-8"?>
<calcChain xmlns="http://schemas.openxmlformats.org/spreadsheetml/2006/main">
  <c r="AO9" i="1" l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8" i="1"/>
  <c r="AA8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N57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8" i="1"/>
  <c r="X8" i="1"/>
  <c r="AA9" i="1"/>
  <c r="AA10" i="1"/>
  <c r="AA11" i="1"/>
  <c r="AA12" i="1"/>
  <c r="AA13" i="1"/>
  <c r="AA14" i="1"/>
  <c r="AA15" i="1"/>
  <c r="T2" i="1" s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Z57" i="1"/>
  <c r="X57" i="1"/>
  <c r="L41" i="1"/>
  <c r="AF2" i="1" l="1"/>
  <c r="I43" i="1"/>
  <c r="J43" i="1" s="1"/>
  <c r="I46" i="1"/>
  <c r="I47" i="1"/>
  <c r="I48" i="1"/>
  <c r="I49" i="1"/>
  <c r="I50" i="1"/>
  <c r="I51" i="1"/>
  <c r="I52" i="1"/>
  <c r="I53" i="1"/>
  <c r="I54" i="1"/>
  <c r="I55" i="1"/>
  <c r="I56" i="1"/>
  <c r="I57" i="1"/>
  <c r="K60" i="2"/>
  <c r="J60" i="2"/>
  <c r="I60" i="2"/>
  <c r="K59" i="2"/>
  <c r="J59" i="2"/>
  <c r="I59" i="2"/>
  <c r="K58" i="2"/>
  <c r="J58" i="2"/>
  <c r="I58" i="2"/>
  <c r="K57" i="2"/>
  <c r="J57" i="2"/>
  <c r="I57" i="2"/>
  <c r="K56" i="2"/>
  <c r="J56" i="2"/>
  <c r="I56" i="2"/>
  <c r="K55" i="2"/>
  <c r="J55" i="2"/>
  <c r="I55" i="2"/>
  <c r="E53" i="2"/>
  <c r="E52" i="2"/>
  <c r="E51" i="2"/>
  <c r="E50" i="2"/>
  <c r="E49" i="2"/>
  <c r="E48" i="2"/>
  <c r="E47" i="2"/>
  <c r="E46" i="2"/>
  <c r="E45" i="2"/>
  <c r="E44" i="2"/>
  <c r="E43" i="2"/>
  <c r="P17" i="2"/>
  <c r="AF62" i="1"/>
  <c r="AK57" i="1"/>
  <c r="AJ57" i="1"/>
  <c r="AI57" i="1"/>
  <c r="AH57" i="1"/>
  <c r="AG57" i="1"/>
  <c r="AE57" i="1"/>
  <c r="W57" i="1"/>
  <c r="V57" i="1"/>
  <c r="U57" i="1"/>
  <c r="S57" i="1"/>
  <c r="O57" i="1"/>
  <c r="N57" i="1"/>
  <c r="M57" i="1"/>
  <c r="L57" i="1"/>
  <c r="K57" i="1"/>
  <c r="J57" i="1"/>
  <c r="G57" i="1"/>
  <c r="AG56" i="1"/>
  <c r="AH56" i="1" s="1"/>
  <c r="AE56" i="1"/>
  <c r="W56" i="1"/>
  <c r="V56" i="1"/>
  <c r="U56" i="1"/>
  <c r="S56" i="1"/>
  <c r="O56" i="1"/>
  <c r="N56" i="1"/>
  <c r="M56" i="1"/>
  <c r="L56" i="1"/>
  <c r="K56" i="1"/>
  <c r="J56" i="1"/>
  <c r="G56" i="1"/>
  <c r="AK55" i="1"/>
  <c r="AJ55" i="1"/>
  <c r="AI55" i="1"/>
  <c r="AH55" i="1"/>
  <c r="AG55" i="1"/>
  <c r="AE55" i="1"/>
  <c r="W55" i="1"/>
  <c r="V55" i="1"/>
  <c r="U55" i="1"/>
  <c r="S55" i="1"/>
  <c r="O55" i="1"/>
  <c r="N55" i="1"/>
  <c r="M55" i="1"/>
  <c r="L55" i="1"/>
  <c r="K55" i="1"/>
  <c r="J55" i="1"/>
  <c r="G55" i="1"/>
  <c r="AK54" i="1"/>
  <c r="AJ54" i="1"/>
  <c r="AI54" i="1"/>
  <c r="AH54" i="1"/>
  <c r="AG54" i="1"/>
  <c r="AE54" i="1"/>
  <c r="W54" i="1"/>
  <c r="V54" i="1"/>
  <c r="U54" i="1"/>
  <c r="S54" i="1"/>
  <c r="O54" i="1"/>
  <c r="N54" i="1"/>
  <c r="M54" i="1"/>
  <c r="L54" i="1"/>
  <c r="K54" i="1"/>
  <c r="J54" i="1"/>
  <c r="G54" i="1"/>
  <c r="AK53" i="1"/>
  <c r="AJ53" i="1"/>
  <c r="AI53" i="1"/>
  <c r="AH53" i="1"/>
  <c r="AG53" i="1"/>
  <c r="AE53" i="1"/>
  <c r="W53" i="1"/>
  <c r="V53" i="1"/>
  <c r="U53" i="1"/>
  <c r="S53" i="1"/>
  <c r="O53" i="1"/>
  <c r="N53" i="1"/>
  <c r="M53" i="1"/>
  <c r="L53" i="1"/>
  <c r="K53" i="1"/>
  <c r="J53" i="1"/>
  <c r="G53" i="1"/>
  <c r="AK52" i="1"/>
  <c r="AJ52" i="1"/>
  <c r="AI52" i="1"/>
  <c r="AH52" i="1"/>
  <c r="AG52" i="1"/>
  <c r="AE52" i="1"/>
  <c r="W52" i="1"/>
  <c r="V52" i="1"/>
  <c r="U52" i="1"/>
  <c r="S52" i="1"/>
  <c r="O52" i="1"/>
  <c r="N52" i="1"/>
  <c r="M52" i="1"/>
  <c r="L52" i="1"/>
  <c r="K52" i="1"/>
  <c r="J52" i="1"/>
  <c r="G52" i="1"/>
  <c r="AK51" i="1"/>
  <c r="AJ51" i="1"/>
  <c r="AI51" i="1"/>
  <c r="AH51" i="1"/>
  <c r="AG51" i="1"/>
  <c r="AE51" i="1"/>
  <c r="W51" i="1"/>
  <c r="V51" i="1"/>
  <c r="U51" i="1"/>
  <c r="S51" i="1"/>
  <c r="O51" i="1"/>
  <c r="N51" i="1"/>
  <c r="M51" i="1"/>
  <c r="L51" i="1"/>
  <c r="K51" i="1"/>
  <c r="J51" i="1"/>
  <c r="G51" i="1"/>
  <c r="AK50" i="1"/>
  <c r="AJ50" i="1"/>
  <c r="AI50" i="1"/>
  <c r="AH50" i="1"/>
  <c r="AG50" i="1"/>
  <c r="AE50" i="1"/>
  <c r="W50" i="1"/>
  <c r="V50" i="1"/>
  <c r="U50" i="1"/>
  <c r="S50" i="1"/>
  <c r="O50" i="1"/>
  <c r="N50" i="1"/>
  <c r="M50" i="1"/>
  <c r="L50" i="1"/>
  <c r="K50" i="1"/>
  <c r="J50" i="1"/>
  <c r="G50" i="1"/>
  <c r="AK49" i="1"/>
  <c r="AJ49" i="1"/>
  <c r="AI49" i="1"/>
  <c r="AH49" i="1"/>
  <c r="AG49" i="1"/>
  <c r="AE49" i="1"/>
  <c r="W49" i="1"/>
  <c r="V49" i="1"/>
  <c r="U49" i="1"/>
  <c r="S49" i="1"/>
  <c r="O49" i="1"/>
  <c r="N49" i="1"/>
  <c r="M49" i="1"/>
  <c r="L49" i="1"/>
  <c r="K49" i="1"/>
  <c r="J49" i="1"/>
  <c r="G49" i="1"/>
  <c r="AK48" i="1"/>
  <c r="AJ48" i="1"/>
  <c r="AI48" i="1"/>
  <c r="AH48" i="1"/>
  <c r="AG48" i="1"/>
  <c r="AE48" i="1"/>
  <c r="W48" i="1"/>
  <c r="V48" i="1"/>
  <c r="U48" i="1"/>
  <c r="S48" i="1"/>
  <c r="O48" i="1"/>
  <c r="N48" i="1"/>
  <c r="M48" i="1"/>
  <c r="L48" i="1"/>
  <c r="K48" i="1"/>
  <c r="J48" i="1"/>
  <c r="G48" i="1"/>
  <c r="AK47" i="1"/>
  <c r="AJ47" i="1"/>
  <c r="AI47" i="1"/>
  <c r="AH47" i="1"/>
  <c r="AG47" i="1"/>
  <c r="AE47" i="1"/>
  <c r="W47" i="1"/>
  <c r="V47" i="1"/>
  <c r="U47" i="1"/>
  <c r="S47" i="1"/>
  <c r="O47" i="1"/>
  <c r="N47" i="1"/>
  <c r="M47" i="1"/>
  <c r="L47" i="1"/>
  <c r="K47" i="1"/>
  <c r="J47" i="1"/>
  <c r="G47" i="1"/>
  <c r="AK46" i="1"/>
  <c r="AJ46" i="1"/>
  <c r="AI46" i="1"/>
  <c r="AH46" i="1"/>
  <c r="AG46" i="1"/>
  <c r="AE46" i="1"/>
  <c r="W46" i="1"/>
  <c r="V46" i="1"/>
  <c r="U46" i="1"/>
  <c r="S46" i="1"/>
  <c r="O46" i="1"/>
  <c r="N46" i="1"/>
  <c r="M46" i="1"/>
  <c r="L46" i="1"/>
  <c r="K46" i="1"/>
  <c r="J46" i="1"/>
  <c r="G46" i="1"/>
  <c r="AG45" i="1"/>
  <c r="AJ45" i="1" s="1"/>
  <c r="AE45" i="1"/>
  <c r="U45" i="1"/>
  <c r="V45" i="1" s="1"/>
  <c r="S45" i="1"/>
  <c r="O45" i="1"/>
  <c r="N45" i="1"/>
  <c r="M45" i="1"/>
  <c r="L45" i="1"/>
  <c r="G45" i="1"/>
  <c r="I45" i="1" s="1"/>
  <c r="AG44" i="1"/>
  <c r="AJ44" i="1" s="1"/>
  <c r="AK44" i="1" s="1"/>
  <c r="AE44" i="1"/>
  <c r="V44" i="1"/>
  <c r="U44" i="1"/>
  <c r="W44" i="1" s="1"/>
  <c r="S44" i="1"/>
  <c r="O44" i="1"/>
  <c r="N44" i="1"/>
  <c r="M44" i="1"/>
  <c r="L44" i="1"/>
  <c r="G44" i="1"/>
  <c r="I44" i="1" s="1"/>
  <c r="AK43" i="1"/>
  <c r="AH43" i="1"/>
  <c r="AG43" i="1"/>
  <c r="AJ43" i="1" s="1"/>
  <c r="AI43" i="1" s="1"/>
  <c r="AE43" i="1"/>
  <c r="U43" i="1"/>
  <c r="V43" i="1" s="1"/>
  <c r="S43" i="1"/>
  <c r="O43" i="1"/>
  <c r="N43" i="1"/>
  <c r="M43" i="1"/>
  <c r="L43" i="1"/>
  <c r="K43" i="1"/>
  <c r="G43" i="1"/>
  <c r="AG42" i="1"/>
  <c r="AJ42" i="1" s="1"/>
  <c r="AK42" i="1" s="1"/>
  <c r="AE42" i="1"/>
  <c r="U42" i="1"/>
  <c r="V42" i="1" s="1"/>
  <c r="S42" i="1"/>
  <c r="O42" i="1"/>
  <c r="N42" i="1"/>
  <c r="M42" i="1"/>
  <c r="L42" i="1"/>
  <c r="G42" i="1"/>
  <c r="I42" i="1" s="1"/>
  <c r="AJ41" i="1"/>
  <c r="AK41" i="1" s="1"/>
  <c r="AH41" i="1"/>
  <c r="AG41" i="1"/>
  <c r="AE41" i="1"/>
  <c r="V41" i="1"/>
  <c r="U41" i="1"/>
  <c r="W41" i="1" s="1"/>
  <c r="S41" i="1"/>
  <c r="O41" i="1"/>
  <c r="N41" i="1"/>
  <c r="M41" i="1"/>
  <c r="G41" i="1"/>
  <c r="I41" i="1" s="1"/>
  <c r="AK40" i="1"/>
  <c r="AH40" i="1"/>
  <c r="AG40" i="1"/>
  <c r="AJ40" i="1" s="1"/>
  <c r="AI40" i="1" s="1"/>
  <c r="AE40" i="1"/>
  <c r="V40" i="1"/>
  <c r="U40" i="1"/>
  <c r="W40" i="1" s="1"/>
  <c r="S40" i="1"/>
  <c r="O40" i="1"/>
  <c r="N40" i="1"/>
  <c r="M40" i="1"/>
  <c r="L40" i="1"/>
  <c r="G40" i="1"/>
  <c r="I40" i="1" s="1"/>
  <c r="AG39" i="1"/>
  <c r="AJ39" i="1" s="1"/>
  <c r="AK39" i="1" s="1"/>
  <c r="AE39" i="1"/>
  <c r="U39" i="1"/>
  <c r="V39" i="1" s="1"/>
  <c r="S39" i="1"/>
  <c r="O39" i="1"/>
  <c r="N39" i="1"/>
  <c r="M39" i="1"/>
  <c r="L39" i="1"/>
  <c r="G39" i="1"/>
  <c r="I39" i="1" s="1"/>
  <c r="AJ38" i="1"/>
  <c r="AK38" i="1" s="1"/>
  <c r="AH38" i="1"/>
  <c r="AG38" i="1"/>
  <c r="AE38" i="1"/>
  <c r="V38" i="1"/>
  <c r="U38" i="1"/>
  <c r="W38" i="1" s="1"/>
  <c r="S38" i="1"/>
  <c r="O38" i="1"/>
  <c r="N38" i="1"/>
  <c r="M38" i="1"/>
  <c r="L38" i="1"/>
  <c r="G38" i="1"/>
  <c r="I38" i="1" s="1"/>
  <c r="AJ37" i="1"/>
  <c r="AK37" i="1" s="1"/>
  <c r="AH37" i="1"/>
  <c r="AG37" i="1"/>
  <c r="AE37" i="1"/>
  <c r="U37" i="1"/>
  <c r="V37" i="1" s="1"/>
  <c r="S37" i="1"/>
  <c r="O37" i="1"/>
  <c r="N37" i="1"/>
  <c r="M37" i="1"/>
  <c r="L37" i="1"/>
  <c r="G37" i="1"/>
  <c r="I37" i="1" s="1"/>
  <c r="AK36" i="1"/>
  <c r="AH36" i="1"/>
  <c r="AG36" i="1"/>
  <c r="AJ36" i="1" s="1"/>
  <c r="AI36" i="1" s="1"/>
  <c r="AE36" i="1"/>
  <c r="V36" i="1"/>
  <c r="U36" i="1"/>
  <c r="W36" i="1" s="1"/>
  <c r="S36" i="1"/>
  <c r="O36" i="1"/>
  <c r="N36" i="1"/>
  <c r="M36" i="1"/>
  <c r="L36" i="1"/>
  <c r="G36" i="1"/>
  <c r="I36" i="1" s="1"/>
  <c r="AG35" i="1"/>
  <c r="AJ35" i="1" s="1"/>
  <c r="AK35" i="1" s="1"/>
  <c r="AE35" i="1"/>
  <c r="U35" i="1"/>
  <c r="V35" i="1" s="1"/>
  <c r="S35" i="1"/>
  <c r="O35" i="1"/>
  <c r="N35" i="1"/>
  <c r="M35" i="1"/>
  <c r="L35" i="1"/>
  <c r="G35" i="1"/>
  <c r="I35" i="1" s="1"/>
  <c r="AJ34" i="1"/>
  <c r="AK34" i="1" s="1"/>
  <c r="AH34" i="1"/>
  <c r="AG34" i="1"/>
  <c r="AE34" i="1"/>
  <c r="V34" i="1"/>
  <c r="U34" i="1"/>
  <c r="W34" i="1" s="1"/>
  <c r="S34" i="1"/>
  <c r="O34" i="1"/>
  <c r="N34" i="1"/>
  <c r="M34" i="1"/>
  <c r="L34" i="1"/>
  <c r="G34" i="1"/>
  <c r="I34" i="1" s="1"/>
  <c r="AJ33" i="1"/>
  <c r="AK33" i="1" s="1"/>
  <c r="AH33" i="1"/>
  <c r="AG33" i="1"/>
  <c r="AE33" i="1"/>
  <c r="U33" i="1"/>
  <c r="V33" i="1" s="1"/>
  <c r="S33" i="1"/>
  <c r="O33" i="1"/>
  <c r="N33" i="1"/>
  <c r="M33" i="1"/>
  <c r="L33" i="1"/>
  <c r="G33" i="1"/>
  <c r="I33" i="1" s="1"/>
  <c r="AK32" i="1"/>
  <c r="AH32" i="1"/>
  <c r="AG32" i="1"/>
  <c r="AJ32" i="1" s="1"/>
  <c r="AI32" i="1" s="1"/>
  <c r="AE32" i="1"/>
  <c r="V32" i="1"/>
  <c r="U32" i="1"/>
  <c r="W32" i="1" s="1"/>
  <c r="S32" i="1"/>
  <c r="O32" i="1"/>
  <c r="N32" i="1"/>
  <c r="M32" i="1"/>
  <c r="L32" i="1"/>
  <c r="G32" i="1"/>
  <c r="I32" i="1" s="1"/>
  <c r="AG31" i="1"/>
  <c r="AJ31" i="1" s="1"/>
  <c r="AK31" i="1" s="1"/>
  <c r="AE31" i="1"/>
  <c r="U31" i="1"/>
  <c r="V31" i="1" s="1"/>
  <c r="S31" i="1"/>
  <c r="O31" i="1"/>
  <c r="N31" i="1"/>
  <c r="M31" i="1"/>
  <c r="L31" i="1"/>
  <c r="G31" i="1"/>
  <c r="I31" i="1" s="1"/>
  <c r="AJ30" i="1"/>
  <c r="AK30" i="1" s="1"/>
  <c r="AH30" i="1"/>
  <c r="AG30" i="1"/>
  <c r="AE30" i="1"/>
  <c r="V30" i="1"/>
  <c r="U30" i="1"/>
  <c r="W30" i="1" s="1"/>
  <c r="S30" i="1"/>
  <c r="O30" i="1"/>
  <c r="N30" i="1"/>
  <c r="M30" i="1"/>
  <c r="L30" i="1"/>
  <c r="G30" i="1"/>
  <c r="I30" i="1" s="1"/>
  <c r="AJ29" i="1"/>
  <c r="AK29" i="1" s="1"/>
  <c r="AH29" i="1"/>
  <c r="AG29" i="1"/>
  <c r="AE29" i="1"/>
  <c r="U29" i="1"/>
  <c r="V29" i="1" s="1"/>
  <c r="S29" i="1"/>
  <c r="O29" i="1"/>
  <c r="N29" i="1"/>
  <c r="M29" i="1"/>
  <c r="L29" i="1"/>
  <c r="G29" i="1"/>
  <c r="I29" i="1" s="1"/>
  <c r="AK28" i="1"/>
  <c r="AH28" i="1"/>
  <c r="AG28" i="1"/>
  <c r="AJ28" i="1" s="1"/>
  <c r="AI28" i="1" s="1"/>
  <c r="AE28" i="1"/>
  <c r="V28" i="1"/>
  <c r="U28" i="1"/>
  <c r="W28" i="1" s="1"/>
  <c r="S28" i="1"/>
  <c r="O28" i="1"/>
  <c r="N28" i="1"/>
  <c r="M28" i="1"/>
  <c r="L28" i="1"/>
  <c r="G28" i="1"/>
  <c r="I28" i="1" s="1"/>
  <c r="AG27" i="1"/>
  <c r="AJ27" i="1" s="1"/>
  <c r="AK27" i="1" s="1"/>
  <c r="AE27" i="1"/>
  <c r="U27" i="1"/>
  <c r="V27" i="1" s="1"/>
  <c r="S27" i="1"/>
  <c r="O27" i="1"/>
  <c r="N27" i="1"/>
  <c r="M27" i="1"/>
  <c r="L27" i="1"/>
  <c r="G27" i="1"/>
  <c r="I27" i="1" s="1"/>
  <c r="AJ26" i="1"/>
  <c r="AK26" i="1" s="1"/>
  <c r="AH26" i="1"/>
  <c r="AG26" i="1"/>
  <c r="AE26" i="1"/>
  <c r="V26" i="1"/>
  <c r="U26" i="1"/>
  <c r="W26" i="1" s="1"/>
  <c r="S26" i="1"/>
  <c r="O26" i="1"/>
  <c r="N26" i="1"/>
  <c r="M26" i="1"/>
  <c r="L26" i="1"/>
  <c r="G26" i="1"/>
  <c r="I26" i="1" s="1"/>
  <c r="AJ25" i="1"/>
  <c r="AK25" i="1" s="1"/>
  <c r="AH25" i="1"/>
  <c r="AG25" i="1"/>
  <c r="AE25" i="1"/>
  <c r="U25" i="1"/>
  <c r="V25" i="1" s="1"/>
  <c r="S25" i="1"/>
  <c r="O25" i="1"/>
  <c r="N25" i="1"/>
  <c r="M25" i="1"/>
  <c r="L25" i="1"/>
  <c r="G25" i="1"/>
  <c r="I25" i="1" s="1"/>
  <c r="AK24" i="1"/>
  <c r="AH24" i="1"/>
  <c r="AG24" i="1"/>
  <c r="AJ24" i="1" s="1"/>
  <c r="AI24" i="1" s="1"/>
  <c r="AE24" i="1"/>
  <c r="V24" i="1"/>
  <c r="U24" i="1"/>
  <c r="W24" i="1" s="1"/>
  <c r="S24" i="1"/>
  <c r="O24" i="1"/>
  <c r="N24" i="1"/>
  <c r="M24" i="1"/>
  <c r="L24" i="1"/>
  <c r="G24" i="1"/>
  <c r="I24" i="1" s="1"/>
  <c r="AG23" i="1"/>
  <c r="AJ23" i="1" s="1"/>
  <c r="AK23" i="1" s="1"/>
  <c r="AE23" i="1"/>
  <c r="U23" i="1"/>
  <c r="V23" i="1" s="1"/>
  <c r="S23" i="1"/>
  <c r="O23" i="1"/>
  <c r="N23" i="1"/>
  <c r="M23" i="1"/>
  <c r="L23" i="1"/>
  <c r="G23" i="1"/>
  <c r="I23" i="1" s="1"/>
  <c r="AJ22" i="1"/>
  <c r="AK22" i="1" s="1"/>
  <c r="AH22" i="1"/>
  <c r="AG22" i="1"/>
  <c r="AE22" i="1"/>
  <c r="V22" i="1"/>
  <c r="U22" i="1"/>
  <c r="W22" i="1" s="1"/>
  <c r="S22" i="1"/>
  <c r="O22" i="1"/>
  <c r="N22" i="1"/>
  <c r="M22" i="1"/>
  <c r="L22" i="1"/>
  <c r="G22" i="1"/>
  <c r="I22" i="1" s="1"/>
  <c r="AJ21" i="1"/>
  <c r="AK21" i="1" s="1"/>
  <c r="AH21" i="1"/>
  <c r="AG21" i="1"/>
  <c r="AE21" i="1"/>
  <c r="U21" i="1"/>
  <c r="V21" i="1" s="1"/>
  <c r="S21" i="1"/>
  <c r="O21" i="1"/>
  <c r="N21" i="1"/>
  <c r="M21" i="1"/>
  <c r="L21" i="1"/>
  <c r="G21" i="1"/>
  <c r="I21" i="1" s="1"/>
  <c r="AK20" i="1"/>
  <c r="AH20" i="1"/>
  <c r="AG20" i="1"/>
  <c r="AJ20" i="1" s="1"/>
  <c r="AI20" i="1" s="1"/>
  <c r="AE20" i="1"/>
  <c r="V20" i="1"/>
  <c r="U20" i="1"/>
  <c r="W20" i="1" s="1"/>
  <c r="S20" i="1"/>
  <c r="O20" i="1"/>
  <c r="N20" i="1"/>
  <c r="M20" i="1"/>
  <c r="L20" i="1"/>
  <c r="G20" i="1"/>
  <c r="I20" i="1" s="1"/>
  <c r="AG19" i="1"/>
  <c r="AJ19" i="1" s="1"/>
  <c r="AK19" i="1" s="1"/>
  <c r="AE19" i="1"/>
  <c r="U19" i="1"/>
  <c r="V19" i="1" s="1"/>
  <c r="S19" i="1"/>
  <c r="O19" i="1"/>
  <c r="N19" i="1"/>
  <c r="M19" i="1"/>
  <c r="L19" i="1"/>
  <c r="G19" i="1"/>
  <c r="I19" i="1" s="1"/>
  <c r="AJ18" i="1"/>
  <c r="AK18" i="1" s="1"/>
  <c r="AH18" i="1"/>
  <c r="AG18" i="1"/>
  <c r="AE18" i="1"/>
  <c r="V18" i="1"/>
  <c r="U18" i="1"/>
  <c r="W18" i="1" s="1"/>
  <c r="S18" i="1"/>
  <c r="O18" i="1"/>
  <c r="N18" i="1"/>
  <c r="M18" i="1"/>
  <c r="L18" i="1"/>
  <c r="G18" i="1"/>
  <c r="I18" i="1" s="1"/>
  <c r="AJ17" i="1"/>
  <c r="AK17" i="1" s="1"/>
  <c r="AH17" i="1"/>
  <c r="AG17" i="1"/>
  <c r="AE17" i="1"/>
  <c r="U17" i="1"/>
  <c r="V17" i="1" s="1"/>
  <c r="S17" i="1"/>
  <c r="O17" i="1"/>
  <c r="N17" i="1"/>
  <c r="M17" i="1"/>
  <c r="L17" i="1"/>
  <c r="G17" i="1"/>
  <c r="I17" i="1" s="1"/>
  <c r="AK16" i="1"/>
  <c r="AH16" i="1"/>
  <c r="AG16" i="1"/>
  <c r="AJ16" i="1" s="1"/>
  <c r="AI16" i="1" s="1"/>
  <c r="AE16" i="1"/>
  <c r="V16" i="1"/>
  <c r="U16" i="1"/>
  <c r="W16" i="1" s="1"/>
  <c r="S16" i="1"/>
  <c r="O16" i="1"/>
  <c r="N16" i="1"/>
  <c r="M16" i="1"/>
  <c r="L16" i="1"/>
  <c r="G16" i="1"/>
  <c r="I16" i="1" s="1"/>
  <c r="AG15" i="1"/>
  <c r="AE15" i="1"/>
  <c r="U15" i="1"/>
  <c r="V15" i="1" s="1"/>
  <c r="S15" i="1"/>
  <c r="O15" i="1"/>
  <c r="F2" i="1" s="1"/>
  <c r="N15" i="1"/>
  <c r="M15" i="1"/>
  <c r="L15" i="1"/>
  <c r="G15" i="1"/>
  <c r="I15" i="1" s="1"/>
  <c r="AJ14" i="1"/>
  <c r="AK14" i="1" s="1"/>
  <c r="AH14" i="1"/>
  <c r="AG14" i="1"/>
  <c r="AE14" i="1"/>
  <c r="V14" i="1"/>
  <c r="U14" i="1"/>
  <c r="W14" i="1" s="1"/>
  <c r="S14" i="1"/>
  <c r="O14" i="1"/>
  <c r="N14" i="1"/>
  <c r="M14" i="1"/>
  <c r="L14" i="1"/>
  <c r="G14" i="1"/>
  <c r="I14" i="1" s="1"/>
  <c r="J14" i="1" s="1"/>
  <c r="AJ13" i="1"/>
  <c r="AK13" i="1" s="1"/>
  <c r="AH13" i="1"/>
  <c r="AG13" i="1"/>
  <c r="AE13" i="1"/>
  <c r="U13" i="1"/>
  <c r="V13" i="1" s="1"/>
  <c r="S13" i="1"/>
  <c r="O13" i="1"/>
  <c r="N13" i="1"/>
  <c r="M13" i="1"/>
  <c r="L13" i="1"/>
  <c r="G13" i="1"/>
  <c r="I13" i="1" s="1"/>
  <c r="AK12" i="1"/>
  <c r="AH12" i="1"/>
  <c r="AG12" i="1"/>
  <c r="AJ12" i="1" s="1"/>
  <c r="AI12" i="1" s="1"/>
  <c r="AE12" i="1"/>
  <c r="V12" i="1"/>
  <c r="U12" i="1"/>
  <c r="W12" i="1" s="1"/>
  <c r="S12" i="1"/>
  <c r="O12" i="1"/>
  <c r="N12" i="1"/>
  <c r="M12" i="1"/>
  <c r="L12" i="1"/>
  <c r="G12" i="1"/>
  <c r="I12" i="1" s="1"/>
  <c r="AG11" i="1"/>
  <c r="AJ11" i="1" s="1"/>
  <c r="AK11" i="1" s="1"/>
  <c r="AE11" i="1"/>
  <c r="U11" i="1"/>
  <c r="V11" i="1" s="1"/>
  <c r="S11" i="1"/>
  <c r="O11" i="1"/>
  <c r="N11" i="1"/>
  <c r="M11" i="1"/>
  <c r="L11" i="1"/>
  <c r="G11" i="1"/>
  <c r="I11" i="1" s="1"/>
  <c r="AJ10" i="1"/>
  <c r="AK10" i="1" s="1"/>
  <c r="AH10" i="1"/>
  <c r="AG10" i="1"/>
  <c r="AE10" i="1"/>
  <c r="V10" i="1"/>
  <c r="U10" i="1"/>
  <c r="W10" i="1" s="1"/>
  <c r="S10" i="1"/>
  <c r="O10" i="1"/>
  <c r="N10" i="1"/>
  <c r="M10" i="1"/>
  <c r="L10" i="1"/>
  <c r="G10" i="1"/>
  <c r="I10" i="1" s="1"/>
  <c r="AJ9" i="1"/>
  <c r="AK9" i="1" s="1"/>
  <c r="AH9" i="1"/>
  <c r="AG9" i="1"/>
  <c r="AE9" i="1"/>
  <c r="U9" i="1"/>
  <c r="V9" i="1" s="1"/>
  <c r="S9" i="1"/>
  <c r="O9" i="1"/>
  <c r="N9" i="1"/>
  <c r="M9" i="1"/>
  <c r="L9" i="1"/>
  <c r="G9" i="1"/>
  <c r="I9" i="1" s="1"/>
  <c r="AE8" i="1"/>
  <c r="AG8" i="1" s="1"/>
  <c r="S8" i="1"/>
  <c r="O8" i="1"/>
  <c r="N8" i="1"/>
  <c r="M8" i="1"/>
  <c r="L8" i="1"/>
  <c r="G8" i="1"/>
  <c r="I8" i="1" s="1"/>
  <c r="AJ4" i="1"/>
  <c r="AD4" i="1"/>
  <c r="V4" i="1"/>
  <c r="Q4" i="1"/>
  <c r="AJ3" i="1"/>
  <c r="AD3" i="1"/>
  <c r="V3" i="1"/>
  <c r="Q3" i="1"/>
  <c r="AJ2" i="1"/>
  <c r="V2" i="1"/>
  <c r="Q2" i="1"/>
  <c r="AD2" i="1" s="1"/>
  <c r="AJ15" i="1" l="1"/>
  <c r="AK15" i="1" s="1"/>
  <c r="AK45" i="1"/>
  <c r="AI45" i="1"/>
  <c r="AI11" i="1"/>
  <c r="AI15" i="1"/>
  <c r="AI19" i="1"/>
  <c r="AI23" i="1"/>
  <c r="AI27" i="1"/>
  <c r="AI31" i="1"/>
  <c r="AI35" i="1"/>
  <c r="AI39" i="1"/>
  <c r="AI42" i="1"/>
  <c r="AI44" i="1"/>
  <c r="AI9" i="1"/>
  <c r="AI10" i="1"/>
  <c r="AH11" i="1"/>
  <c r="AI13" i="1"/>
  <c r="AI14" i="1"/>
  <c r="AH15" i="1"/>
  <c r="AI17" i="1"/>
  <c r="AI18" i="1"/>
  <c r="AH19" i="1"/>
  <c r="AI21" i="1"/>
  <c r="AI22" i="1"/>
  <c r="AH23" i="1"/>
  <c r="AI25" i="1"/>
  <c r="AI26" i="1"/>
  <c r="AH27" i="1"/>
  <c r="AI29" i="1"/>
  <c r="AI30" i="1"/>
  <c r="AH31" i="1"/>
  <c r="AI33" i="1"/>
  <c r="AI34" i="1"/>
  <c r="AH35" i="1"/>
  <c r="AI37" i="1"/>
  <c r="AI38" i="1"/>
  <c r="AH39" i="1"/>
  <c r="AI41" i="1"/>
  <c r="AH42" i="1"/>
  <c r="AH44" i="1"/>
  <c r="AH45" i="1"/>
  <c r="W9" i="1"/>
  <c r="W11" i="1"/>
  <c r="W13" i="1"/>
  <c r="W15" i="1"/>
  <c r="W17" i="1"/>
  <c r="W19" i="1"/>
  <c r="W21" i="1"/>
  <c r="W23" i="1"/>
  <c r="W25" i="1"/>
  <c r="W27" i="1"/>
  <c r="W29" i="1"/>
  <c r="W31" i="1"/>
  <c r="W33" i="1"/>
  <c r="W35" i="1"/>
  <c r="W37" i="1"/>
  <c r="W39" i="1"/>
  <c r="W42" i="1"/>
  <c r="W43" i="1"/>
  <c r="W45" i="1"/>
  <c r="U8" i="1"/>
  <c r="U60" i="1" s="1"/>
  <c r="AJ56" i="1"/>
  <c r="AK56" i="1" s="1"/>
  <c r="P16" i="2"/>
  <c r="AI56" i="1"/>
  <c r="U59" i="1"/>
  <c r="J45" i="1"/>
  <c r="K45" i="1"/>
  <c r="J44" i="1"/>
  <c r="K44" i="1"/>
  <c r="AH8" i="1"/>
  <c r="AC59" i="1"/>
  <c r="AI59" i="1"/>
  <c r="AC60" i="1"/>
  <c r="AF60" i="1" s="1"/>
  <c r="AI60" i="1"/>
  <c r="P2" i="2"/>
  <c r="P6" i="2"/>
  <c r="P10" i="2"/>
  <c r="P14" i="2"/>
  <c r="AJ8" i="1"/>
  <c r="AK59" i="1"/>
  <c r="P4" i="2"/>
  <c r="P8" i="2"/>
  <c r="P12" i="2"/>
  <c r="J2" i="2"/>
  <c r="J6" i="2"/>
  <c r="J10" i="2"/>
  <c r="J14" i="2"/>
  <c r="V8" i="1"/>
  <c r="Q60" i="1"/>
  <c r="K30" i="1"/>
  <c r="J30" i="1"/>
  <c r="J9" i="1"/>
  <c r="K9" i="1"/>
  <c r="K11" i="1"/>
  <c r="J11" i="1"/>
  <c r="K38" i="1"/>
  <c r="J38" i="1"/>
  <c r="K20" i="1"/>
  <c r="J20" i="1"/>
  <c r="K16" i="1"/>
  <c r="J16" i="1"/>
  <c r="K34" i="1"/>
  <c r="J34" i="1"/>
  <c r="K24" i="1"/>
  <c r="J24" i="1"/>
  <c r="K42" i="1"/>
  <c r="J42" i="1"/>
  <c r="K17" i="1"/>
  <c r="J17" i="1"/>
  <c r="J19" i="1"/>
  <c r="K19" i="1"/>
  <c r="K22" i="1"/>
  <c r="J22" i="1"/>
  <c r="K27" i="1"/>
  <c r="J27" i="1"/>
  <c r="J29" i="1"/>
  <c r="K29" i="1"/>
  <c r="K32" i="1"/>
  <c r="J32" i="1"/>
  <c r="K35" i="1"/>
  <c r="J35" i="1"/>
  <c r="J37" i="1"/>
  <c r="K37" i="1"/>
  <c r="K40" i="1"/>
  <c r="J40" i="1"/>
  <c r="J13" i="1"/>
  <c r="K13" i="1"/>
  <c r="J15" i="1"/>
  <c r="K15" i="1"/>
  <c r="K18" i="1"/>
  <c r="J18" i="1"/>
  <c r="K21" i="1"/>
  <c r="J21" i="1"/>
  <c r="J23" i="1"/>
  <c r="K23" i="1"/>
  <c r="K28" i="1"/>
  <c r="J28" i="1"/>
  <c r="K31" i="1"/>
  <c r="J31" i="1"/>
  <c r="J33" i="1"/>
  <c r="K33" i="1"/>
  <c r="K36" i="1"/>
  <c r="J36" i="1"/>
  <c r="K39" i="1"/>
  <c r="J39" i="1"/>
  <c r="J41" i="1"/>
  <c r="K41" i="1"/>
  <c r="K10" i="1"/>
  <c r="J10" i="1"/>
  <c r="K26" i="1"/>
  <c r="J26" i="1"/>
  <c r="K8" i="1"/>
  <c r="I59" i="1"/>
  <c r="G59" i="1"/>
  <c r="G60" i="1"/>
  <c r="J8" i="1"/>
  <c r="K14" i="1"/>
  <c r="K25" i="1"/>
  <c r="J25" i="1"/>
  <c r="D16" i="2"/>
  <c r="D2" i="2"/>
  <c r="K12" i="1"/>
  <c r="D6" i="2"/>
  <c r="D10" i="2"/>
  <c r="D14" i="2"/>
  <c r="J12" i="1"/>
  <c r="C59" i="1"/>
  <c r="C60" i="1"/>
  <c r="D4" i="2"/>
  <c r="D8" i="2"/>
  <c r="D12" i="2"/>
  <c r="C5" i="1" l="1"/>
  <c r="Q59" i="1"/>
  <c r="S60" i="1" s="1"/>
  <c r="J16" i="2"/>
  <c r="J12" i="2"/>
  <c r="J8" i="2"/>
  <c r="J4" i="2"/>
  <c r="W8" i="1"/>
  <c r="W59" i="1"/>
  <c r="AI65" i="1"/>
  <c r="AI64" i="1"/>
  <c r="F21" i="2"/>
  <c r="AK64" i="1"/>
  <c r="F35" i="2"/>
  <c r="S59" i="1"/>
  <c r="F23" i="2"/>
  <c r="F33" i="2"/>
  <c r="F31" i="2"/>
  <c r="F29" i="2"/>
  <c r="F27" i="2"/>
  <c r="AC65" i="1"/>
  <c r="AC64" i="1"/>
  <c r="F25" i="2"/>
  <c r="AK8" i="1"/>
  <c r="AI8" i="1"/>
  <c r="P18" i="2"/>
  <c r="AF59" i="1"/>
  <c r="E60" i="1"/>
  <c r="E59" i="1"/>
  <c r="G4" i="1"/>
  <c r="D18" i="2"/>
  <c r="J18" i="2" l="1"/>
  <c r="AF64" i="1"/>
  <c r="D37" i="2"/>
  <c r="AF65" i="1"/>
</calcChain>
</file>

<file path=xl/comments1.xml><?xml version="1.0" encoding="utf-8"?>
<comments xmlns="http://schemas.openxmlformats.org/spreadsheetml/2006/main" xmlns:r="http://schemas.openxmlformats.org/officeDocument/2006/relationships">
  <authors>
    <author/>
  </authors>
  <commentList>
    <comment ref="AB8" authorId="0">
      <text>
        <t xml:space="preserve">======
ID#AAAAZL1kxGo
    (2022-05-11 18:29:41)
النقطة من 20</t>
      </text>
    </comment>
    <comment ref="AB9" authorId="0">
      <text>
        <t xml:space="preserve">======
ID#AAAAZL1kxHs
    (2022-05-11 18:29:41)
النقطة من 20</t>
      </text>
    </comment>
    <comment ref="C5" authorId="0">
      <text>
        <t xml:space="preserve">======
ID#AAAAZL1kxQU
    (2022-05-11 18:29:41)
عند النتهاء من ادخال النقاط يتوصل البرنامج تلقائيا الى عدد التلاميذ.</t>
      </text>
    </comment>
    <comment ref="AC8" authorId="0">
      <text>
        <t xml:space="preserve">======
ID#AAAAZL1kxN4
    (2022-05-11 18:29:41)
النقطة من 20</t>
      </text>
    </comment>
    <comment ref="AC9" authorId="0">
      <text>
        <t xml:space="preserve">======
ID#AAAAZL1kxHI
    (2022-05-11 18:29:41)
النقطة من 20</t>
      </text>
    </comment>
    <comment ref="H10" authorId="0">
      <text>
        <t xml:space="preserve">======
ID#AAAAZL1kxGI
    (2022-05-11 18:29:41)
النقطة من 60</t>
      </text>
    </comment>
    <comment ref="H12" authorId="0">
      <text>
        <t xml:space="preserve">======
ID#AAAAZL1kw-k
    (2022-05-11 18:29:41)
النقطة من 60</t>
      </text>
    </comment>
    <comment ref="H11" authorId="0">
      <text>
        <t xml:space="preserve">======
ID#AAAAZL1kwwY
    (2022-05-11 18:29:41)
النقطة من 60</t>
      </text>
    </comment>
    <comment ref="H14" authorId="0">
      <text>
        <t xml:space="preserve">======
ID#AAAAZL1kw58
    (2022-05-11 18:29:41)
النقطة من 60</t>
      </text>
    </comment>
    <comment ref="H13" authorId="0">
      <text>
        <t xml:space="preserve">======
ID#AAAAZL1kwvo
    (2022-05-11 18:29:41)
النقطة من 60</t>
      </text>
    </comment>
    <comment ref="H16" authorId="0">
      <text>
        <t xml:space="preserve">======
ID#AAAAZL1kwyU
    (2022-05-11 18:29:41)
النقطة من 60</t>
      </text>
    </comment>
    <comment ref="H15" authorId="0">
      <text>
        <t xml:space="preserve">======
ID#AAAAZL1kw_Y
    (2022-05-11 18:29:41)
النقطة من 60</t>
      </text>
    </comment>
    <comment ref="H18" authorId="0">
      <text>
        <t xml:space="preserve">======
ID#AAAAZL1kw1w
    (2022-05-11 18:29:41)
النقطة من 60</t>
      </text>
    </comment>
    <comment ref="H17" authorId="0">
      <text>
        <t xml:space="preserve">======
ID#AAAAZL1kxFg
    (2022-05-11 18:29:41)
النقطة من 60</t>
      </text>
    </comment>
    <comment ref="H19" authorId="0">
      <text>
        <t xml:space="preserve">======
ID#AAAAZL1kw3I
    (2022-05-11 18:29:41)
النقطة من 60</t>
      </text>
    </comment>
    <comment ref="D8" authorId="0">
      <text>
        <t xml:space="preserve">======
ID#AAAAZL1kw44
    (2022-05-11 18:29:41)
النقطة من 20</t>
      </text>
    </comment>
    <comment ref="D9" authorId="0">
      <text>
        <t xml:space="preserve">======
ID#AAAAZL1kw9Q
    (2022-05-11 18:29:41)
النقطة من 20</t>
      </text>
    </comment>
    <comment ref="AD8" authorId="0">
      <text>
        <t xml:space="preserve">======
ID#AAAAZL1kwvg
    (2022-05-11 18:29:41)
النقطة من 20</t>
      </text>
    </comment>
    <comment ref="AD9" authorId="0">
      <text>
        <t xml:space="preserve">======
ID#AAAAZL1kw9g
    (2022-05-11 18:29:41)
النقطة من 20</t>
      </text>
    </comment>
    <comment ref="H21" authorId="0">
      <text>
        <t xml:space="preserve">======
ID#AAAAZL1kw5Q
    (2022-05-11 18:29:41)
النقطة من 60</t>
      </text>
    </comment>
    <comment ref="H20" authorId="0">
      <text>
        <t xml:space="preserve">======
ID#AAAAZL1kw-4
    (2022-05-11 18:29:41)
النقطة من 60</t>
      </text>
    </comment>
    <comment ref="H23" authorId="0">
      <text>
        <t xml:space="preserve">======
ID#AAAAZL1kw2E
    (2022-05-11 18:29:41)
النقطة من 60</t>
      </text>
    </comment>
    <comment ref="H22" authorId="0">
      <text>
        <t xml:space="preserve">======
ID#AAAAZL1kw8U
    (2022-05-11 18:29:41)
النقطة من 60</t>
      </text>
    </comment>
    <comment ref="H25" authorId="0">
      <text>
        <t xml:space="preserve">======
ID#AAAAZL1kw4Y
    (2022-05-11 18:29:41)
النقطة من 60</t>
      </text>
    </comment>
    <comment ref="H24" authorId="0">
      <text>
        <t xml:space="preserve">======
ID#AAAAZL1kwwk
    (2022-05-11 18:29:41)
النقطة من 60</t>
      </text>
    </comment>
    <comment ref="H27" authorId="0">
      <text>
        <t xml:space="preserve">======
ID#AAAAZL1kw6Q
    (2022-05-11 18:29:41)
النقطة من 60</t>
      </text>
    </comment>
    <comment ref="H26" authorId="0">
      <text>
        <t xml:space="preserve">======
ID#AAAAZL1kw2o
    (2022-05-11 18:29:41)
النقطة من 60</t>
      </text>
    </comment>
    <comment ref="H29" authorId="0">
      <text>
        <t xml:space="preserve">======
ID#AAAAZL1kwyk
    (2022-05-11 18:29:41)
النقطة من 60</t>
      </text>
    </comment>
    <comment ref="H28" authorId="0">
      <text>
        <t xml:space="preserve">======
ID#AAAAZL1kw9U
    (2022-05-11 18:29:41)
النقطة من 60</t>
      </text>
    </comment>
    <comment ref="E8" authorId="0">
      <text>
        <t xml:space="preserve">======
ID#AAAAZL1kwwE
    (2022-05-11 18:29:41)
النقطة من 20</t>
      </text>
    </comment>
    <comment ref="E9" authorId="0">
      <text>
        <t xml:space="preserve">======
ID#AAAAZL1kw_4
    (2022-05-11 18:29:41)
النقطة من 20</t>
      </text>
    </comment>
    <comment ref="H30" authorId="0">
      <text>
        <t xml:space="preserve">======
ID#AAAAZL1kw4k
    (2022-05-11 18:29:41)
النقطة من 60</t>
      </text>
    </comment>
    <comment ref="H32" authorId="0">
      <text>
        <t xml:space="preserve">======
ID#AAAAZL1kw1M
    (2022-05-11 18:29:41)
النقطة من 60</t>
      </text>
    </comment>
    <comment ref="H31" authorId="0">
      <text>
        <t xml:space="preserve">======
ID#AAAAZL1kxCU
    (2022-05-11 18:29:41)
النقطة من 60</t>
      </text>
    </comment>
    <comment ref="H34" authorId="0">
      <text>
        <t xml:space="preserve">======
ID#AAAAZL1kw5k
    (2022-05-11 18:29:41)
النقطة من 60</t>
      </text>
    </comment>
    <comment ref="H33" authorId="0">
      <text>
        <t xml:space="preserve">======
ID#AAAAZL1kw9E
    (2022-05-11 18:29:41)
النقطة من 60</t>
      </text>
    </comment>
    <comment ref="H36" authorId="0">
      <text>
        <t xml:space="preserve">======
ID#AAAAZL1kxAM
    (2022-05-11 18:29:41)
النقطة من 60</t>
      </text>
    </comment>
    <comment ref="H35" authorId="0">
      <text>
        <t xml:space="preserve">======
ID#AAAAZL1kwsM
    (2022-05-11 18:29:41)
النقطة من 60</t>
      </text>
    </comment>
    <comment ref="F2" authorId="0">
      <text>
        <t xml:space="preserve">======
ID#AAAAZL1kxHc
    (2022-05-11 18:29:41)
كلمة "خطأ" تعني إدخال علامة غير صحيحة إما في المراقبة المستمرة أو أحد الفروض أو الاختبار.</t>
      </text>
    </comment>
    <comment ref="H38" authorId="0">
      <text>
        <t xml:space="preserve">======
ID#AAAAZL1kw_8
    (2022-05-11 18:29:41)
النقطة من 60</t>
      </text>
    </comment>
    <comment ref="H37" authorId="0">
      <text>
        <t xml:space="preserve">======
ID#AAAAZL1kwuU
    (2022-05-11 18:29:41)
النقطة من 60</t>
      </text>
    </comment>
    <comment ref="AF2" authorId="0">
      <text>
        <t xml:space="preserve">======
ID#AAAAZL1kwt4
    (2022-05-11 18:29:41)
كلمة "خطأ" تعني إدخال علامة غير صحيحة إما في المراقبة المستمرة أو أحد الفروض أو الاختبار.</t>
      </text>
    </comment>
    <comment ref="H39" authorId="0">
      <text>
        <t xml:space="preserve">======
ID#AAAAZL1kxO8
    (2022-05-11 18:29:41)
النقطة من 60</t>
      </text>
    </comment>
    <comment ref="F8" authorId="0">
      <text>
        <t xml:space="preserve">======
ID#AAAAZL1kxME
    (2022-05-11 18:29:41)
النقطة من 20</t>
      </text>
    </comment>
    <comment ref="F9" authorId="0">
      <text>
        <t xml:space="preserve">======
ID#AAAAZL1kxLo
    (2022-05-11 18:29:41)
النقطة من 20</t>
      </text>
    </comment>
    <comment ref="AF8" authorId="0">
      <text>
        <t xml:space="preserve">======
ID#AAAAZL1kxFs
    (2022-05-11 18:29:41)
النقطة من 60</t>
      </text>
    </comment>
    <comment ref="AF9" authorId="0">
      <text>
        <t xml:space="preserve">======
ID#AAAAZL1kwrA
    (2022-05-11 18:29:41)
النقطة من 60</t>
      </text>
    </comment>
    <comment ref="H41" authorId="0">
      <text>
        <t xml:space="preserve">======
ID#AAAAZL1kw5c
    (2022-05-11 18:29:41)
النقطة من 60</t>
      </text>
    </comment>
    <comment ref="H40" authorId="0">
      <text>
        <t xml:space="preserve">======
ID#AAAAZL1kwsU
    (2022-05-11 18:29:41)
النقطة من 60</t>
      </text>
    </comment>
    <comment ref="H43" authorId="0">
      <text>
        <t xml:space="preserve">======
ID#AAAAZL1kws8
    (2022-05-11 18:29:41)
النقطة من 60</t>
      </text>
    </comment>
    <comment ref="H42" authorId="0">
      <text>
        <t xml:space="preserve">======
ID#AAAAZL1kxBs
    (2022-05-11 18:29:41)
النقطة من 60</t>
      </text>
    </comment>
    <comment ref="H45" authorId="0">
      <text>
        <t xml:space="preserve">======
ID#AAAAZL1kwzQ
    (2022-05-11 18:29:41)
النقطة من 60</t>
      </text>
    </comment>
    <comment ref="H44" authorId="0">
      <text>
        <t xml:space="preserve">======
ID#AAAAZL1kxCY
    (2022-05-11 18:29:41)
النقطة من 60</t>
      </text>
    </comment>
    <comment ref="H47" authorId="0">
      <text>
        <t xml:space="preserve">======
ID#AAAAZL1kxM8
    (2022-05-11 18:29:41)
النقطة من 60</t>
      </text>
    </comment>
    <comment ref="H46" authorId="0">
      <text>
        <t xml:space="preserve">======
ID#AAAAZL1kxOc
    (2022-05-11 18:29:41)
النقطة من 60</t>
      </text>
    </comment>
    <comment ref="H49" authorId="0">
      <text>
        <t xml:space="preserve">======
ID#AAAAZL1kxKE
    (2022-05-11 18:29:41)
النقطة من 60</t>
      </text>
    </comment>
    <comment ref="G3" authorId="0">
      <text>
        <t xml:space="preserve">======
ID#AAAAZL1kwvY
    (2022-05-11 18:29:41)
أدخل عدد الذكور فقط !</t>
      </text>
    </comment>
    <comment ref="H48" authorId="0">
      <text>
        <t xml:space="preserve">======
ID#AAAAZL1kxLk
    (2022-05-11 18:29:41)
النقطة من 60</t>
      </text>
    </comment>
    <comment ref="G4" authorId="0">
      <text>
        <t xml:space="preserve">======
ID#AAAAZL1kw94
    (2022-05-11 18:29:41)
أدخل عدد الذكور فقط !</t>
      </text>
    </comment>
    <comment ref="H50" authorId="0">
      <text>
        <t xml:space="preserve">======
ID#AAAAZL1kxGQ
    (2022-05-11 18:29:41)
النقطة من 60</t>
      </text>
    </comment>
    <comment ref="H52" authorId="0">
      <text>
        <t xml:space="preserve">======
ID#AAAAZL1kxI4
    (2022-05-11 18:29:41)
النقطة من 60</t>
      </text>
    </comment>
    <comment ref="F10" authorId="0">
      <text>
        <t xml:space="preserve">======
ID#AAAAZL1kw3M
    (2022-05-11 18:29:41)
النقطة من 20</t>
      </text>
    </comment>
    <comment ref="H51" authorId="0">
      <text>
        <t xml:space="preserve">======
ID#AAAAZL1kwxE
    (2022-05-11 18:29:41)
النقطة من 60</t>
      </text>
    </comment>
    <comment ref="H54" authorId="0">
      <text>
        <t xml:space="preserve">======
ID#AAAAZL1kxMc
    (2022-05-11 18:29:41)
النقطة من 60</t>
      </text>
    </comment>
    <comment ref="F12" authorId="0">
      <text>
        <t xml:space="preserve">======
ID#AAAAZL1kw6I
    (2022-05-11 18:29:41)
النقطة من 20</t>
      </text>
    </comment>
    <comment ref="H53" authorId="0">
      <text>
        <t xml:space="preserve">======
ID#AAAAZL1kxKk
    (2022-05-11 18:29:41)
النقطة من 60</t>
      </text>
    </comment>
    <comment ref="F11" authorId="0">
      <text>
        <t xml:space="preserve">======
ID#AAAAZL1kw4s
    (2022-05-11 18:29:41)
النقطة من 20</t>
      </text>
    </comment>
    <comment ref="F14" authorId="0">
      <text>
        <t xml:space="preserve">======
ID#AAAAZL1kxGA
    (2022-05-11 18:29:41)
النقطة من 20</t>
      </text>
    </comment>
    <comment ref="H56" authorId="0">
      <text>
        <t xml:space="preserve">======
ID#AAAAZL1kwyA
    (2022-05-11 18:29:41)
النقطة من 60</t>
      </text>
    </comment>
    <comment ref="H55" authorId="0">
      <text>
        <t xml:space="preserve">======
ID#AAAAZL1kxIo
    (2022-05-11 18:29:41)
النقطة من 60</t>
      </text>
    </comment>
    <comment ref="F13" authorId="0">
      <text>
        <t xml:space="preserve">======
ID#AAAAZL1kw7c
    (2022-05-11 18:29:41)
النقطة من 20</t>
      </text>
    </comment>
    <comment ref="F16" authorId="0">
      <text>
        <t xml:space="preserve">======
ID#AAAAZL1kw-0
    (2022-05-11 18:29:41)
النقطة من 20</t>
      </text>
    </comment>
    <comment ref="H57" authorId="0">
      <text>
        <t xml:space="preserve">======
ID#AAAAZL1kxFY
    (2022-05-11 18:29:41)
النقطة من 60</t>
      </text>
    </comment>
    <comment ref="F15" authorId="0">
      <text>
        <t xml:space="preserve">======
ID#AAAAZL1kwxI
    (2022-05-11 18:29:41)
النقطة من 20</t>
      </text>
    </comment>
    <comment ref="F18" authorId="0">
      <text>
        <t xml:space="preserve">======
ID#AAAAZL1kxMU
    (2022-05-11 18:29:41)
النقطة من 20</t>
      </text>
    </comment>
    <comment ref="F17" authorId="0">
      <text>
        <t xml:space="preserve">======
ID#AAAAZL1kwvs
    (2022-05-11 18:29:41)
النقطة من 20</t>
      </text>
    </comment>
    <comment ref="F19" authorId="0">
      <text>
        <t xml:space="preserve">======
ID#AAAAZL1kw_A
    (2022-05-11 18:29:41)
النقطة من 20</t>
      </text>
    </comment>
    <comment ref="H8" authorId="0">
      <text>
        <t xml:space="preserve">======
ID#AAAAZL1kw5w
    (2022-05-11 18:29:41)
النقطة من 60</t>
      </text>
    </comment>
    <comment ref="H9" authorId="0">
      <text>
        <t xml:space="preserve">======
ID#AAAAZL1kw7Y
    (2022-05-11 18:29:41)
النقطة من 60</t>
      </text>
    </comment>
    <comment ref="F21" authorId="0">
      <text>
        <t xml:space="preserve">======
ID#AAAAZL1kwq4
    (2022-05-11 18:29:41)
النقطة من 20</t>
      </text>
    </comment>
    <comment ref="F20" authorId="0">
      <text>
        <t xml:space="preserve">======
ID#AAAAZL1kw78
    (2022-05-11 18:29:41)
النقطة من 20</t>
      </text>
    </comment>
    <comment ref="F23" authorId="0">
      <text>
        <t xml:space="preserve">======
ID#AAAAZL1kwtY
    (2022-05-11 18:29:41)
النقطة من 20</t>
      </text>
    </comment>
    <comment ref="F22" authorId="0">
      <text>
        <t xml:space="preserve">======
ID#AAAAZL1kxA8
    (2022-05-11 18:29:41)
النقطة من 20</t>
      </text>
    </comment>
    <comment ref="F25" authorId="0">
      <text>
        <t xml:space="preserve">======
ID#AAAAZL1kxM0
    (2022-05-11 18:29:41)
النقطة من 20</t>
      </text>
    </comment>
    <comment ref="F24" authorId="0">
      <text>
        <t xml:space="preserve">======
ID#AAAAZL1kw_s
    (2022-05-11 18:29:41)
النقطة من 20</t>
      </text>
    </comment>
    <comment ref="F27" authorId="0">
      <text>
        <t xml:space="preserve">======
ID#AAAAZL1kxJQ
    (2022-05-11 18:29:41)
النقطة من 20</t>
      </text>
    </comment>
    <comment ref="F26" authorId="0">
      <text>
        <t xml:space="preserve">======
ID#AAAAZL1kxQc
    (2022-05-11 18:29:41)
النقطة من 20</t>
      </text>
    </comment>
    <comment ref="F29" authorId="0">
      <text>
        <t xml:space="preserve">======
ID#AAAAZL1kxKw
    (2022-05-11 18:29:41)
النقطة من 20</t>
      </text>
    </comment>
    <comment ref="F28" authorId="0">
      <text>
        <t xml:space="preserve">======
ID#AAAAZL1kwwo
    (2022-05-11 18:29:41)
النقطة من 20</t>
      </text>
    </comment>
    <comment ref="AF18" authorId="0">
      <text>
        <t xml:space="preserve">======
ID#AAAAZL1kwyQ
    (2022-05-11 18:29:41)
النقطة من 60</t>
      </text>
    </comment>
    <comment ref="AF19" authorId="0">
      <text>
        <t xml:space="preserve">======
ID#AAAAZL1kxP4
    (2022-05-11 18:29:41)
النقطة من 60</t>
      </text>
    </comment>
    <comment ref="AF16" authorId="0">
      <text>
        <t xml:space="preserve">======
ID#AAAAZL1kwq8
    (2022-05-11 18:29:41)
النقطة من 60</t>
      </text>
    </comment>
    <comment ref="AF17" authorId="0">
      <text>
        <t xml:space="preserve">======
ID#AAAAZL1kxCQ
    (2022-05-11 18:29:41)
النقطة من 60</t>
      </text>
    </comment>
    <comment ref="AF14" authorId="0">
      <text>
        <t xml:space="preserve">======
ID#AAAAZL1kw7k
    (2022-05-11 18:29:41)
النقطة من 60</t>
      </text>
    </comment>
    <comment ref="AF15" authorId="0">
      <text>
        <t xml:space="preserve">======
ID#AAAAZL1kw60
    (2022-05-11 18:29:41)
النقطة من 60</t>
      </text>
    </comment>
    <comment ref="AF12" authorId="0">
      <text>
        <t xml:space="preserve">======
ID#AAAAZL1kxDQ
    (2022-05-11 18:29:41)
النقطة من 60</t>
      </text>
    </comment>
    <comment ref="AF13" authorId="0">
      <text>
        <t xml:space="preserve">======
ID#AAAAZL1kwzo
    (2022-05-11 18:29:41)
النقطة من 60</t>
      </text>
    </comment>
    <comment ref="AF10" authorId="0">
      <text>
        <t xml:space="preserve">======
ID#AAAAZL1kw4w
    (2022-05-11 18:29:41)
النقطة من 60</t>
      </text>
    </comment>
    <comment ref="AF11" authorId="0">
      <text>
        <t xml:space="preserve">======
ID#AAAAZL1kw2g
    (2022-05-11 18:29:41)
النقطة من 60</t>
      </text>
    </comment>
    <comment ref="F30" authorId="0">
      <text>
        <t xml:space="preserve">======
ID#AAAAZL1kxE0
    (2022-05-11 18:29:41)
النقطة من 20</t>
      </text>
    </comment>
    <comment ref="F32" authorId="0">
      <text>
        <t xml:space="preserve">======
ID#AAAAZL1kxNg
    (2022-05-11 18:29:41)
النقطة من 20</t>
      </text>
    </comment>
    <comment ref="E11" authorId="0">
      <text>
        <t xml:space="preserve">======
ID#AAAAZL1kwx4
    (2022-05-11 18:29:41)
النقطة من 20</t>
      </text>
    </comment>
    <comment ref="E10" authorId="0">
      <text>
        <t xml:space="preserve">======
ID#AAAAZL1kw-M
    (2022-05-11 18:29:41)
النقطة من 20</t>
      </text>
    </comment>
    <comment ref="F31" authorId="0">
      <text>
        <t xml:space="preserve">======
ID#AAAAZL1kxG4
    (2022-05-11 18:29:41)
النقطة من 20</t>
      </text>
    </comment>
    <comment ref="E13" authorId="0">
      <text>
        <t xml:space="preserve">======
ID#AAAAZL1kwq0
    (2022-05-11 18:29:41)
النقطة من 20</t>
      </text>
    </comment>
    <comment ref="F34" authorId="0">
      <text>
        <t xml:space="preserve">======
ID#AAAAZL1kxLE
    (2022-05-11 18:29:41)
النقطة من 20</t>
      </text>
    </comment>
    <comment ref="F33" authorId="0">
      <text>
        <t xml:space="preserve">======
ID#AAAAZL1kxJs
    (2022-05-11 18:29:41)
النقطة من 20</t>
      </text>
    </comment>
    <comment ref="E12" authorId="0">
      <text>
        <t xml:space="preserve">======
ID#AAAAZL1kxA0
    (2022-05-11 18:29:41)
النقطة من 20</t>
      </text>
    </comment>
    <comment ref="E15" authorId="0">
      <text>
        <t xml:space="preserve">======
ID#AAAAZL1kxOw
    (2022-05-11 18:29:41)
النقطة من 20</t>
      </text>
    </comment>
    <comment ref="F36" authorId="0">
      <text>
        <t xml:space="preserve">======
ID#AAAAZL1kwyM
    (2022-05-11 18:29:41)
النقطة من 20</t>
      </text>
    </comment>
    <comment ref="E14" authorId="0">
      <text>
        <t xml:space="preserve">======
ID#AAAAZL1kxNc
    (2022-05-11 18:29:41)
النقطة من 20</t>
      </text>
    </comment>
    <comment ref="F35" authorId="0">
      <text>
        <t xml:space="preserve">======
ID#AAAAZL1kxC4
    (2022-05-11 18:29:41)
النقطة من 20</t>
      </text>
    </comment>
    <comment ref="F38" authorId="0">
      <text>
        <t xml:space="preserve">======
ID#AAAAZL1kxMk
    (2022-05-11 18:29:41)
النقطة من 20</t>
      </text>
    </comment>
    <comment ref="E17" authorId="0">
      <text>
        <t xml:space="preserve">======
ID#AAAAZL1kxD4
    (2022-05-11 18:29:41)
النقطة من 20</t>
      </text>
    </comment>
    <comment ref="F37" authorId="0">
      <text>
        <t xml:space="preserve">======
ID#AAAAZL1kxPY
    (2022-05-11 18:29:41)
النقطة من 20</t>
      </text>
    </comment>
    <comment ref="E16" authorId="0">
      <text>
        <t xml:space="preserve">======
ID#AAAAZL1kw0I
    (2022-05-11 18:29:41)
النقطة من 20</t>
      </text>
    </comment>
    <comment ref="E19" authorId="0">
      <text>
        <t xml:space="preserve">======
ID#AAAAZL1kxLQ
    (2022-05-11 18:29:41)
النقطة من 20</t>
      </text>
    </comment>
    <comment ref="F39" authorId="0">
      <text>
        <t xml:space="preserve">======
ID#AAAAZL1kwr0
    (2022-05-11 18:29:41)
النقطة من 20</t>
      </text>
    </comment>
    <comment ref="E18" authorId="0">
      <text>
        <t xml:space="preserve">======
ID#AAAAZL1kxKY
    (2022-05-11 18:29:41)
النقطة من 20</t>
      </text>
    </comment>
    <comment ref="AF29" authorId="0">
      <text>
        <t xml:space="preserve">======
ID#AAAAZL1kxIw
    (2022-05-11 18:29:41)
النقطة من 60</t>
      </text>
    </comment>
    <comment ref="AF27" authorId="0">
      <text>
        <t xml:space="preserve">======
ID#AAAAZL1kxNk
    (2022-05-11 18:29:41)
النقطة من 60</t>
      </text>
    </comment>
    <comment ref="AF28" authorId="0">
      <text>
        <t xml:space="preserve">======
ID#AAAAZL1kxJc
    (2022-05-11 18:29:41)
النقطة من 60</t>
      </text>
    </comment>
    <comment ref="AF25" authorId="0">
      <text>
        <t xml:space="preserve">======
ID#AAAAZL1kxGc
    (2022-05-11 18:29:41)
النقطة من 60</t>
      </text>
    </comment>
    <comment ref="AF26" authorId="0">
      <text>
        <t xml:space="preserve">======
ID#AAAAZL1kxHE
    (2022-05-11 18:29:41)
النقطة من 60</t>
      </text>
    </comment>
    <comment ref="AF23" authorId="0">
      <text>
        <t xml:space="preserve">======
ID#AAAAZL1kw_M
    (2022-05-11 18:29:41)
النقطة من 60</t>
      </text>
    </comment>
    <comment ref="AF24" authorId="0">
      <text>
        <t xml:space="preserve">======
ID#AAAAZL1kwy8
    (2022-05-11 18:29:41)
النقطة من 60</t>
      </text>
    </comment>
    <comment ref="AF21" authorId="0">
      <text>
        <t xml:space="preserve">======
ID#AAAAZL1kwtI
    (2022-05-11 18:29:41)
النقطة من 60</t>
      </text>
    </comment>
    <comment ref="AF22" authorId="0">
      <text>
        <t xml:space="preserve">======
ID#AAAAZL1kwuw
    (2022-05-11 18:29:41)
النقطة من 60</t>
      </text>
    </comment>
    <comment ref="AF20" authorId="0">
      <text>
        <t xml:space="preserve">======
ID#AAAAZL1kxAA
    (2022-05-11 18:29:41)
النقطة من 60</t>
      </text>
    </comment>
    <comment ref="E20" authorId="0">
      <text>
        <t xml:space="preserve">======
ID#AAAAZL1kw-U
    (2022-05-11 18:29:41)
النقطة من 20</t>
      </text>
    </comment>
    <comment ref="F41" authorId="0">
      <text>
        <t xml:space="preserve">======
ID#AAAAZL1kxHA
    (2022-05-11 18:29:41)
النقطة من 20</t>
      </text>
    </comment>
    <comment ref="F40" authorId="0">
      <text>
        <t xml:space="preserve">======
ID#AAAAZL1kxJ8
    (2022-05-11 18:29:41)
النقطة من 20</t>
      </text>
    </comment>
    <comment ref="E22" authorId="0">
      <text>
        <t xml:space="preserve">======
ID#AAAAZL1kxNA
    (2022-05-11 18:29:41)
النقطة من 20</t>
      </text>
    </comment>
    <comment ref="F43" authorId="0">
      <text>
        <t xml:space="preserve">======
ID#AAAAZL1kxEc
    (2022-05-11 18:29:41)
النقطة من 20</t>
      </text>
    </comment>
    <comment ref="E21" authorId="0">
      <text>
        <t xml:space="preserve">======
ID#AAAAZL1kxQk
    (2022-05-11 18:29:41)
النقطة من 20</t>
      </text>
    </comment>
    <comment ref="F42" authorId="0">
      <text>
        <t xml:space="preserve">======
ID#AAAAZL1kwzM
    (2022-05-11 18:29:41)
النقطة من 20</t>
      </text>
    </comment>
    <comment ref="F45" authorId="0">
      <text>
        <t xml:space="preserve">======
ID#AAAAZL1kxM4
    (2022-05-11 18:29:41)
النقطة من 20</t>
      </text>
    </comment>
    <comment ref="E24" authorId="0">
      <text>
        <t xml:space="preserve">======
ID#AAAAZL1kxK0
    (2022-05-11 18:29:41)
النقطة من 20</t>
      </text>
    </comment>
    <comment ref="E23" authorId="0">
      <text>
        <t xml:space="preserve">======
ID#AAAAZL1kxHM
    (2022-05-11 18:29:41)
النقطة من 20</t>
      </text>
    </comment>
    <comment ref="F44" authorId="0">
      <text>
        <t xml:space="preserve">======
ID#AAAAZL1kwso
    (2022-05-11 18:29:41)
النقطة من 20</t>
      </text>
    </comment>
    <comment ref="F47" authorId="0">
      <text>
        <t xml:space="preserve">======
ID#AAAAZL1kwr8
    (2022-05-11 18:29:41)
النقطة من 20</t>
      </text>
    </comment>
    <comment ref="E26" authorId="0">
      <text>
        <t xml:space="preserve">======
ID#AAAAZL1kxJI
    (2022-05-11 18:29:41)
النقطة من 20</t>
      </text>
    </comment>
    <comment ref="E25" authorId="0">
      <text>
        <t xml:space="preserve">======
ID#AAAAZL1kxJ4
    (2022-05-11 18:29:41)
النقطة من 20</t>
      </text>
    </comment>
    <comment ref="F46" authorId="0">
      <text>
        <t xml:space="preserve">======
ID#AAAAZL1kxAI
    (2022-05-11 18:29:41)
النقطة من 20</t>
      </text>
    </comment>
    <comment ref="E28" authorId="0">
      <text>
        <t xml:space="preserve">======
ID#AAAAZL1kxPQ
    (2022-05-11 18:29:41)
النقطة من 20</t>
      </text>
    </comment>
    <comment ref="F49" authorId="0">
      <text>
        <t xml:space="preserve">======
ID#AAAAZL1kwzY
    (2022-05-11 18:29:41)
النقطة من 20</t>
      </text>
    </comment>
    <comment ref="E27" authorId="0">
      <text>
        <t xml:space="preserve">======
ID#AAAAZL1kxPs
    (2022-05-11 18:29:41)
النقطة من 20</t>
      </text>
    </comment>
    <comment ref="F48" authorId="0">
      <text>
        <t xml:space="preserve">======
ID#AAAAZL1kxCI
    (2022-05-11 18:29:41)
النقطة من 20</t>
      </text>
    </comment>
    <comment ref="E29" authorId="0">
      <text>
        <t xml:space="preserve">======
ID#AAAAZL1kwsc
    (2022-05-11 18:29:41)
النقطة من 20</t>
      </text>
    </comment>
    <comment ref="AF38" authorId="0">
      <text>
        <t xml:space="preserve">======
ID#AAAAZL1kxDs
    (2022-05-11 18:29:41)
النقطة من 60</t>
      </text>
    </comment>
    <comment ref="AF39" authorId="0">
      <text>
        <t xml:space="preserve">======
ID#AAAAZL1kwuY
    (2022-05-11 18:29:41)
النقطة من 60</t>
      </text>
    </comment>
    <comment ref="AF36" authorId="0">
      <text>
        <t xml:space="preserve">======
ID#AAAAZL1kxG8
    (2022-05-11 18:29:41)
النقطة من 60</t>
      </text>
    </comment>
    <comment ref="AF37" authorId="0">
      <text>
        <t xml:space="preserve">======
ID#AAAAZL1kwzU
    (2022-05-11 18:29:41)
النقطة من 60</t>
      </text>
    </comment>
    <comment ref="AF34" authorId="0">
      <text>
        <t xml:space="preserve">======
ID#AAAAZL1kxKQ
    (2022-05-11 18:29:41)
النقطة من 60</t>
      </text>
    </comment>
    <comment ref="AF35" authorId="0">
      <text>
        <t xml:space="preserve">======
ID#AAAAZL1kxOA
    (2022-05-11 18:29:41)
النقطة من 60</t>
      </text>
    </comment>
    <comment ref="AF32" authorId="0">
      <text>
        <t xml:space="preserve">======
ID#AAAAZL1kwxk
    (2022-05-11 18:29:41)
النقطة من 60</t>
      </text>
    </comment>
    <comment ref="AF33" authorId="0">
      <text>
        <t xml:space="preserve">======
ID#AAAAZL1kxLA
    (2022-05-11 18:29:41)
النقطة من 60</t>
      </text>
    </comment>
    <comment ref="AF30" authorId="0">
      <text>
        <t xml:space="preserve">======
ID#AAAAZL1kxP8
    (2022-05-11 18:29:41)
النقطة من 60</t>
      </text>
    </comment>
    <comment ref="AF31" authorId="0">
      <text>
        <t xml:space="preserve">======
ID#AAAAZL1kxEI
    (2022-05-11 18:29:41)
النقطة من 60</t>
      </text>
    </comment>
    <comment ref="F50" authorId="0">
      <text>
        <t xml:space="preserve">======
ID#AAAAZL1kwtw
    (2022-05-11 18:29:41)
النقطة من 20</t>
      </text>
    </comment>
    <comment ref="D10" authorId="0">
      <text>
        <t xml:space="preserve">======
ID#AAAAZL1kxOo
    (2022-05-11 18:29:41)
النقطة من 20</t>
      </text>
    </comment>
    <comment ref="E31" authorId="0">
      <text>
        <t xml:space="preserve">======
ID#AAAAZL1kxD8
    (2022-05-11 18:29:41)
النقطة من 20</t>
      </text>
    </comment>
    <comment ref="F52" authorId="0">
      <text>
        <t xml:space="preserve">======
ID#AAAAZL1kw6c
    (2022-05-11 18:29:41)
النقطة من 20</t>
      </text>
    </comment>
    <comment ref="E30" authorId="0">
      <text>
        <t xml:space="preserve">======
ID#AAAAZL1kxHk
    (2022-05-11 18:29:41)
النقطة من 20</t>
      </text>
    </comment>
    <comment ref="F51" authorId="0">
      <text>
        <t xml:space="preserve">======
ID#AAAAZL1kw90
    (2022-05-11 18:29:41)
النقطة من 20</t>
      </text>
    </comment>
    <comment ref="D12" authorId="0">
      <text>
        <t xml:space="preserve">======
ID#AAAAZL1kxIA
    (2022-05-11 18:29:41)
النقطة من 20</t>
      </text>
    </comment>
    <comment ref="F54" authorId="0">
      <text>
        <t xml:space="preserve">======
ID#AAAAZL1kxGE
    (2022-05-11 18:29:41)
النقطة من 20</t>
      </text>
    </comment>
    <comment ref="E33" authorId="0">
      <text>
        <t xml:space="preserve">======
ID#AAAAZL1kw9w
    (2022-05-11 18:29:41)
النقطة من 20</t>
      </text>
    </comment>
    <comment ref="D11" authorId="0">
      <text>
        <t xml:space="preserve">======
ID#AAAAZL1kxQQ
    (2022-05-11 18:29:41)
النقطة من 20</t>
      </text>
    </comment>
    <comment ref="F53" authorId="0">
      <text>
        <t xml:space="preserve">======
ID#AAAAZL1kw7g
    (2022-05-11 18:29:41)
النقطة من 20</t>
      </text>
    </comment>
    <comment ref="E32" authorId="0">
      <text>
        <t xml:space="preserve">======
ID#AAAAZL1kwzI
    (2022-05-11 18:29:41)
النقطة من 20</t>
      </text>
    </comment>
    <comment ref="D14" authorId="0">
      <text>
        <t xml:space="preserve">======
ID#AAAAZL1kxK8
    (2022-05-11 18:29:41)
النقطة من 20</t>
      </text>
    </comment>
    <comment ref="F56" authorId="0">
      <text>
        <t xml:space="preserve">======
ID#AAAAZL1kw2c
    (2022-05-11 18:29:41)
النقطة من 20</t>
      </text>
    </comment>
    <comment ref="E35" authorId="0">
      <text>
        <t xml:space="preserve">======
ID#AAAAZL1kwt0
    (2022-05-11 18:29:41)
النقطة من 20</t>
      </text>
    </comment>
    <comment ref="E34" authorId="0">
      <text>
        <t xml:space="preserve">======
ID#AAAAZL1kxNs
    (2022-05-11 18:29:41)
النقطة من 20</t>
      </text>
    </comment>
    <comment ref="D13" authorId="0">
      <text>
        <t xml:space="preserve">======
ID#AAAAZL1kxJY
    (2022-05-11 18:29:41)
النقطة من 20</t>
      </text>
    </comment>
    <comment ref="F55" authorId="0">
      <text>
        <t xml:space="preserve">======
ID#AAAAZL1kwxM
    (2022-05-11 18:29:41)
النقطة من 20</t>
      </text>
    </comment>
    <comment ref="D16" authorId="0">
      <text>
        <t xml:space="preserve">======
ID#AAAAZL1kxNw
    (2022-05-11 18:29:41)
النقطة من 20</t>
      </text>
    </comment>
    <comment ref="E37" authorId="0">
      <text>
        <t xml:space="preserve">======
ID#AAAAZL1kwxU
    (2022-05-11 18:29:41)
النقطة من 20</t>
      </text>
    </comment>
    <comment ref="D15" authorId="0">
      <text>
        <t xml:space="preserve">======
ID#AAAAZL1kxHQ
    (2022-05-11 18:29:41)
النقطة من 20</t>
      </text>
    </comment>
    <comment ref="E36" authorId="0">
      <text>
        <t xml:space="preserve">======
ID#AAAAZL1kxBk
    (2022-05-11 18:29:41)
النقطة من 20</t>
      </text>
    </comment>
    <comment ref="F57" authorId="0">
      <text>
        <t xml:space="preserve">======
ID#AAAAZL1kw4A
    (2022-05-11 18:29:41)
النقطة من 20</t>
      </text>
    </comment>
    <comment ref="D18" authorId="0">
      <text>
        <t xml:space="preserve">======
ID#AAAAZL1kw-Y
    (2022-05-11 18:29:41)
النقطة من 20</t>
      </text>
    </comment>
    <comment ref="E39" authorId="0">
      <text>
        <t xml:space="preserve">======
ID#AAAAZL1kw84
    (2022-05-11 18:29:41)
النقطة من 20</t>
      </text>
    </comment>
    <comment ref="D17" authorId="0">
      <text>
        <t xml:space="preserve">======
ID#AAAAZL1kxPE
    (2022-05-11 18:29:41)
النقطة من 20</t>
      </text>
    </comment>
    <comment ref="E38" authorId="0">
      <text>
        <t xml:space="preserve">======
ID#AAAAZL1kxEk
    (2022-05-11 18:29:41)
النقطة من 20</t>
      </text>
    </comment>
    <comment ref="D19" authorId="0">
      <text>
        <t xml:space="preserve">======
ID#AAAAZL1kwxo
    (2022-05-11 18:29:41)
النقطة من 20</t>
      </text>
    </comment>
    <comment ref="T10" authorId="0">
      <text>
        <t xml:space="preserve">======
ID#AAAAZL1kxI0
    (2022-05-11 18:29:41)
النقطة من 60</t>
      </text>
    </comment>
    <comment ref="T12" authorId="0">
      <text>
        <t xml:space="preserve">======
ID#AAAAZL1kxLU
    (2022-05-11 18:29:41)
النقطة من 60</t>
      </text>
    </comment>
    <comment ref="AF49" authorId="0">
      <text>
        <t xml:space="preserve">======
ID#AAAAZL1kw1E
    (2022-05-11 18:29:41)
النقطة من 60</t>
      </text>
    </comment>
    <comment ref="T11" authorId="0">
      <text>
        <t xml:space="preserve">======
ID#AAAAZL1kxKU
    (2022-05-11 18:29:41)
النقطة من 60</t>
      </text>
    </comment>
    <comment ref="AF47" authorId="0">
      <text>
        <t xml:space="preserve">======
ID#AAAAZL1kw6Y
    (2022-05-11 18:29:41)
النقطة من 60</t>
      </text>
    </comment>
    <comment ref="T14" authorId="0">
      <text>
        <t xml:space="preserve">======
ID#AAAAZL1kwws
    (2022-05-11 18:29:41)
النقطة من 60</t>
      </text>
    </comment>
    <comment ref="T13" authorId="0">
      <text>
        <t xml:space="preserve">======
ID#AAAAZL1kxG0
    (2022-05-11 18:29:41)
النقطة من 60</t>
      </text>
    </comment>
    <comment ref="AF48" authorId="0">
      <text>
        <t xml:space="preserve">======
ID#AAAAZL1kw80
    (2022-05-11 18:29:41)
النقطة من 60</t>
      </text>
    </comment>
    <comment ref="AF45" authorId="0">
      <text>
        <t xml:space="preserve">======
ID#AAAAZL1kwuc
    (2022-05-11 18:29:41)
النقطة من 60</t>
      </text>
    </comment>
    <comment ref="T16" authorId="0">
      <text>
        <t xml:space="preserve">======
ID#AAAAZL1kwro
    (2022-05-11 18:29:41)
النقطة من 60</t>
      </text>
    </comment>
    <comment ref="T15" authorId="0">
      <text>
        <t xml:space="preserve">======
ID#AAAAZL1kxEQ
    (2022-05-11 18:29:41)
النقطة من 60</t>
      </text>
    </comment>
    <comment ref="AF46" authorId="0">
      <text>
        <t xml:space="preserve">======
ID#AAAAZL1kw9c
    (2022-05-11 18:29:41)
النقطة من 60</t>
      </text>
    </comment>
    <comment ref="T18" authorId="0">
      <text>
        <t xml:space="preserve">======
ID#AAAAZL1kxBo
    (2022-05-11 18:29:41)
النقطة من 60</t>
      </text>
    </comment>
    <comment ref="AF43" authorId="0">
      <text>
        <t xml:space="preserve">======
ID#AAAAZL1kwsI
    (2022-05-11 18:29:41)
النقطة من 60</t>
      </text>
    </comment>
    <comment ref="T17" authorId="0">
      <text>
        <t xml:space="preserve">======
ID#AAAAZL1kxMA
    (2022-05-11 18:29:41)
النقطة من 60</t>
      </text>
    </comment>
    <comment ref="AF44" authorId="0">
      <text>
        <t xml:space="preserve">======
ID#AAAAZL1kxAo
    (2022-05-11 18:29:41)
النقطة من 60</t>
      </text>
    </comment>
    <comment ref="AF41" authorId="0">
      <text>
        <t xml:space="preserve">======
ID#AAAAZL1kxOQ
    (2022-05-11 18:29:41)
النقطة من 60</t>
      </text>
    </comment>
    <comment ref="AF42" authorId="0">
      <text>
        <t xml:space="preserve">======
ID#AAAAZL1kxQA
    (2022-05-11 18:29:41)
النقطة من 60</t>
      </text>
    </comment>
    <comment ref="T19" authorId="0">
      <text>
        <t xml:space="preserve">======
ID#AAAAZL1kwuA
    (2022-05-11 18:29:41)
النقطة من 60</t>
      </text>
    </comment>
    <comment ref="AF40" authorId="0">
      <text>
        <t xml:space="preserve">======
ID#AAAAZL1kxIs
    (2022-05-11 18:29:41)
النقطة من 60</t>
      </text>
    </comment>
    <comment ref="E40" authorId="0">
      <text>
        <t xml:space="preserve">======
ID#AAAAZL1kwrM
    (2022-05-11 18:29:41)
النقطة من 20</t>
      </text>
    </comment>
    <comment ref="D21" authorId="0">
      <text>
        <t xml:space="preserve">======
ID#AAAAZL1kxDw
    (2022-05-11 18:29:41)
النقطة من 20</t>
      </text>
    </comment>
    <comment ref="E42" authorId="0">
      <text>
        <t xml:space="preserve">======
ID#AAAAZL1kw6U
    (2022-05-11 18:29:41)
النقطة من 20</t>
      </text>
    </comment>
    <comment ref="D20" authorId="0">
      <text>
        <t xml:space="preserve">======
ID#AAAAZL1kxKc
    (2022-05-11 18:29:41)
النقطة من 20</t>
      </text>
    </comment>
    <comment ref="E41" authorId="0">
      <text>
        <t xml:space="preserve">======
ID#AAAAZL1kxBY
    (2022-05-11 18:29:41)
النقطة من 20</t>
      </text>
    </comment>
    <comment ref="D23" authorId="0">
      <text>
        <t xml:space="preserve">======
ID#AAAAZL1kxOU
    (2022-05-11 18:29:41)
النقطة من 20</t>
      </text>
    </comment>
    <comment ref="E44" authorId="0">
      <text>
        <t xml:space="preserve">======
ID#AAAAZL1kxF4
    (2022-05-11 18:29:41)
النقطة من 20</t>
      </text>
    </comment>
    <comment ref="E43" authorId="0">
      <text>
        <t xml:space="preserve">======
ID#AAAAZL1kwrE
    (2022-05-11 18:29:41)
النقطة من 20</t>
      </text>
    </comment>
    <comment ref="D22" authorId="0">
      <text>
        <t xml:space="preserve">======
ID#AAAAZL1kxH4
    (2022-05-11 18:29:41)
النقطة من 20</t>
      </text>
    </comment>
    <comment ref="D25" authorId="0">
      <text>
        <t xml:space="preserve">======
ID#AAAAZL1kwrI
    (2022-05-11 18:29:41)
النقطة من 20</t>
      </text>
    </comment>
    <comment ref="E46" authorId="0">
      <text>
        <t xml:space="preserve">======
ID#AAAAZL1kw2A
    (2022-05-11 18:29:41)
النقطة من 20</t>
      </text>
    </comment>
    <comment ref="D24" authorId="0">
      <text>
        <t xml:space="preserve">======
ID#AAAAZL1kxNY
    (2022-05-11 18:29:41)
النقطة من 20</t>
      </text>
    </comment>
    <comment ref="E45" authorId="0">
      <text>
        <t xml:space="preserve">======
ID#AAAAZL1kwyg
    (2022-05-11 18:29:41)
النقطة من 20</t>
      </text>
    </comment>
    <comment ref="D27" authorId="0">
      <text>
        <t xml:space="preserve">======
ID#AAAAZL1kwuI
    (2022-05-11 18:29:41)
النقطة من 20</t>
      </text>
    </comment>
    <comment ref="E48" authorId="0">
      <text>
        <t xml:space="preserve">======
ID#AAAAZL1kw2w
    (2022-05-11 18:29:41)
النقطة من 20</t>
      </text>
    </comment>
    <comment ref="D26" authorId="0">
      <text>
        <t xml:space="preserve">======
ID#AAAAZL1kxBg
    (2022-05-11 18:29:41)
النقطة من 20</t>
      </text>
    </comment>
    <comment ref="E47" authorId="0">
      <text>
        <t xml:space="preserve">======
ID#AAAAZL1kw3o
    (2022-05-11 18:29:41)
النقطة من 20</t>
      </text>
    </comment>
    <comment ref="D29" authorId="0">
      <text>
        <t xml:space="preserve">======
ID#AAAAZL1kw8s
    (2022-05-11 18:29:41)
النقطة من 20</t>
      </text>
    </comment>
    <comment ref="D28" authorId="0">
      <text>
        <t xml:space="preserve">======
ID#AAAAZL1kw9k
    (2022-05-11 18:29:41)
النقطة من 20</t>
      </text>
    </comment>
    <comment ref="E49" authorId="0">
      <text>
        <t xml:space="preserve">======
ID#AAAAZL1kw18
    (2022-05-11 18:29:41)
النقطة من 20</t>
      </text>
    </comment>
    <comment ref="T21" authorId="0">
      <text>
        <t xml:space="preserve">======
ID#AAAAZL1kxFI
    (2022-05-11 18:29:41)
النقطة من 60</t>
      </text>
    </comment>
    <comment ref="T20" authorId="0">
      <text>
        <t xml:space="preserve">======
ID#AAAAZL1kxQY
    (2022-05-11 18:29:41)
النقطة من 60</t>
      </text>
    </comment>
    <comment ref="AD18" authorId="0">
      <text>
        <t xml:space="preserve">======
ID#AAAAZL1kxPA
    (2022-05-11 18:29:41)
النقطة من 20</t>
      </text>
    </comment>
    <comment ref="T23" authorId="0">
      <text>
        <t xml:space="preserve">======
ID#AAAAZL1kw9Y
    (2022-05-11 18:29:41)
النقطة من 60</t>
      </text>
    </comment>
    <comment ref="AD19" authorId="0">
      <text>
        <t xml:space="preserve">======
ID#AAAAZL1kxNI
    (2022-05-11 18:29:41)
النقطة من 20</t>
      </text>
    </comment>
    <comment ref="T22" authorId="0">
      <text>
        <t xml:space="preserve">======
ID#AAAAZL1kwxY
    (2022-05-11 18:29:41)
النقطة من 60</t>
      </text>
    </comment>
    <comment ref="AD16" authorId="0">
      <text>
        <t xml:space="preserve">======
ID#AAAAZL1kxDk
    (2022-05-11 18:29:41)
النقطة من 20</t>
      </text>
    </comment>
    <comment ref="T25" authorId="0">
      <text>
        <t xml:space="preserve">======
ID#AAAAZL1kw7M
    (2022-05-11 18:29:41)
النقطة من 60</t>
      </text>
    </comment>
    <comment ref="AD17" authorId="0">
      <text>
        <t xml:space="preserve">======
ID#AAAAZL1kwz4
    (2022-05-11 18:29:41)
النقطة من 20</t>
      </text>
    </comment>
    <comment ref="T24" authorId="0">
      <text>
        <t xml:space="preserve">======
ID#AAAAZL1kwu4
    (2022-05-11 18:29:41)
النقطة من 60</t>
      </text>
    </comment>
    <comment ref="AD14" authorId="0">
      <text>
        <t xml:space="preserve">======
ID#AAAAZL1kxK4
    (2022-05-11 18:29:41)
النقطة من 20</t>
      </text>
    </comment>
    <comment ref="T27" authorId="0">
      <text>
        <t xml:space="preserve">======
ID#AAAAZL1kwxA
    (2022-05-11 18:29:41)
النقطة من 60</t>
      </text>
    </comment>
    <comment ref="AF56" authorId="0">
      <text>
        <t xml:space="preserve">======
ID#AAAAZL1kw0Y
    (2022-05-11 18:29:41)
النقطة من 60</t>
      </text>
    </comment>
    <comment ref="AD15" authorId="0">
      <text>
        <t xml:space="preserve">======
ID#AAAAZL1kxJg
    (2022-05-11 18:29:41)
النقطة من 20</t>
      </text>
    </comment>
    <comment ref="T26" authorId="0">
      <text>
        <t xml:space="preserve">======
ID#AAAAZL1kxFQ
    (2022-05-11 18:29:41)
النقطة من 60</t>
      </text>
    </comment>
    <comment ref="AF57" authorId="0">
      <text>
        <t xml:space="preserve">======
ID#AAAAZL1kw38
    (2022-05-11 18:29:41)
النقطة من 60</t>
      </text>
    </comment>
    <comment ref="AD12" authorId="0">
      <text>
        <t xml:space="preserve">======
ID#AAAAZL1kxJA
    (2022-05-11 18:29:41)
النقطة من 20</t>
      </text>
    </comment>
    <comment ref="AF54" authorId="0">
      <text>
        <t xml:space="preserve">======
ID#AAAAZL1kw8E
    (2022-05-11 18:29:41)
النقطة من 60</t>
      </text>
    </comment>
    <comment ref="T29" authorId="0">
      <text>
        <t xml:space="preserve">======
ID#AAAAZL1kw24
    (2022-05-11 18:29:41)
النقطة من 60</t>
      </text>
    </comment>
    <comment ref="AD13" authorId="0">
      <text>
        <t xml:space="preserve">======
ID#AAAAZL1kxMg
    (2022-05-11 18:29:41)
النقطة من 20</t>
      </text>
    </comment>
    <comment ref="AF55" authorId="0">
      <text>
        <t xml:space="preserve">======
ID#AAAAZL1kw6M
    (2022-05-11 18:29:41)
النقطة من 60</t>
      </text>
    </comment>
    <comment ref="T28" authorId="0">
      <text>
        <t xml:space="preserve">======
ID#AAAAZL1kw2M
    (2022-05-11 18:29:41)
النقطة من 60</t>
      </text>
    </comment>
    <comment ref="AF52" authorId="0">
      <text>
        <t xml:space="preserve">======
ID#AAAAZL1kxDI
    (2022-05-11 18:29:41)
النقطة من 60</t>
      </text>
    </comment>
    <comment ref="AD10" authorId="0">
      <text>
        <t xml:space="preserve">======
ID#AAAAZL1kwv4
    (2022-05-11 18:29:41)
النقطة من 20</t>
      </text>
    </comment>
    <comment ref="AD11" authorId="0">
      <text>
        <t xml:space="preserve">======
ID#AAAAZL1kxFU
    (2022-05-11 18:29:41)
النقطة من 20</t>
      </text>
    </comment>
    <comment ref="AF53" authorId="0">
      <text>
        <t xml:space="preserve">======
ID#AAAAZL1kwzk
    (2022-05-11 18:29:41)
النقطة من 60</t>
      </text>
    </comment>
    <comment ref="AF50" authorId="0">
      <text>
        <t xml:space="preserve">======
ID#AAAAZL1kxBQ
    (2022-05-11 18:29:41)
النقطة من 60</t>
      </text>
    </comment>
    <comment ref="AF51" authorId="0">
      <text>
        <t xml:space="preserve">======
ID#AAAAZL1kwtM
    (2022-05-11 18:29:41)
النقطة من 60</t>
      </text>
    </comment>
    <comment ref="E51" authorId="0">
      <text>
        <t xml:space="preserve">======
ID#AAAAZL1kwxs
    (2022-05-11 18:29:41)
النقطة من 20</t>
      </text>
    </comment>
    <comment ref="D30" authorId="0">
      <text>
        <t xml:space="preserve">======
ID#AAAAZL1kwuM
    (2022-05-11 18:29:41)
النقطة من 20</t>
      </text>
    </comment>
    <comment ref="E50" authorId="0">
      <text>
        <t xml:space="preserve">======
ID#AAAAZL1kw08
    (2022-05-11 18:29:41)
النقطة من 20</t>
      </text>
    </comment>
    <comment ref="D32" authorId="0">
      <text>
        <t xml:space="preserve">======
ID#AAAAZL1kw-c
    (2022-05-11 18:29:41)
النقطة من 20</t>
      </text>
    </comment>
    <comment ref="E53" authorId="0">
      <text>
        <t xml:space="preserve">======
ID#AAAAZL1kw0k
    (2022-05-11 18:29:41)
النقطة من 20</t>
      </text>
    </comment>
    <comment ref="E52" authorId="0">
      <text>
        <t xml:space="preserve">======
ID#AAAAZL1kw3w
    (2022-05-11 18:29:41)
النقطة من 20</t>
      </text>
    </comment>
    <comment ref="D31" authorId="0">
      <text>
        <t xml:space="preserve">======
ID#AAAAZL1kwvc
    (2022-05-11 18:29:41)
النقطة من 20</t>
      </text>
    </comment>
    <comment ref="D34" authorId="0">
      <text>
        <t xml:space="preserve">======
ID#AAAAZL1kxFo
    (2022-05-11 18:29:41)
النقطة من 20</t>
      </text>
    </comment>
    <comment ref="E55" authorId="0">
      <text>
        <t xml:space="preserve">======
ID#AAAAZL1kw8A
    (2022-05-11 18:29:41)
النقطة من 20</t>
      </text>
    </comment>
    <comment ref="D33" authorId="0">
      <text>
        <t xml:space="preserve">======
ID#AAAAZL1kwyI
    (2022-05-11 18:29:41)
النقطة من 20</t>
      </text>
    </comment>
    <comment ref="E54" authorId="0">
      <text>
        <t xml:space="preserve">======
ID#AAAAZL1kw6o
    (2022-05-11 18:29:41)
النقطة من 20</t>
      </text>
    </comment>
    <comment ref="E57" authorId="0">
      <text>
        <t xml:space="preserve">======
ID#AAAAZL1kxDA
    (2022-05-11 18:29:41)
النقطة من 20</t>
      </text>
    </comment>
    <comment ref="D36" authorId="0">
      <text>
        <t xml:space="preserve">======
ID#AAAAZL1kw68
    (2022-05-11 18:29:41)
النقطة من 20</t>
      </text>
    </comment>
    <comment ref="D35" authorId="0">
      <text>
        <t xml:space="preserve">======
ID#AAAAZL1kw00
    (2022-05-11 18:29:41)
النقطة من 20</t>
      </text>
    </comment>
    <comment ref="E56" authorId="0">
      <text>
        <t xml:space="preserve">======
ID#AAAAZL1kw0E
    (2022-05-11 18:29:41)
النقطة من 20</t>
      </text>
    </comment>
    <comment ref="D38" authorId="0">
      <text>
        <t xml:space="preserve">======
ID#AAAAZL1kw0Q
    (2022-05-11 18:29:41)
النقطة من 20</t>
      </text>
    </comment>
    <comment ref="D37" authorId="0">
      <text>
        <t xml:space="preserve">======
ID#AAAAZL1kw3Q
    (2022-05-11 18:29:41)
النقطة من 20</t>
      </text>
    </comment>
    <comment ref="D39" authorId="0">
      <text>
        <t xml:space="preserve">======
ID#AAAAZL1kxDg
    (2022-05-11 18:29:41)
النقطة من 20</t>
      </text>
    </comment>
    <comment ref="T30" authorId="0">
      <text>
        <t xml:space="preserve">======
ID#AAAAZL1kwsg
    (2022-05-11 18:29:41)
النقطة من 60</t>
      </text>
    </comment>
    <comment ref="T32" authorId="0">
      <text>
        <t xml:space="preserve">======
ID#AAAAZL1kw8c
    (2022-05-11 18:29:41)
النقطة من 60</t>
      </text>
    </comment>
    <comment ref="T31" authorId="0">
      <text>
        <t xml:space="preserve">======
ID#AAAAZL1kw8M
    (2022-05-11 18:29:41)
النقطة من 60</t>
      </text>
    </comment>
    <comment ref="T34" authorId="0">
      <text>
        <t xml:space="preserve">======
ID#AAAAZL1kxDc
    (2022-05-11 18:29:41)
النقطة من 60</t>
      </text>
    </comment>
    <comment ref="AD29" authorId="0">
      <text>
        <t xml:space="preserve">======
ID#AAAAZL1kxFM
    (2022-05-11 18:29:41)
النقطة من 20</t>
      </text>
    </comment>
    <comment ref="T33" authorId="0">
      <text>
        <t xml:space="preserve">======
ID#AAAAZL1kw0c
    (2022-05-11 18:29:41)
النقطة من 60</t>
      </text>
    </comment>
    <comment ref="AD27" authorId="0">
      <text>
        <t xml:space="preserve">======
ID#AAAAZL1kw_o
    (2022-05-11 18:29:41)
النقطة من 20</t>
      </text>
    </comment>
    <comment ref="T36" authorId="0">
      <text>
        <t xml:space="preserve">======
ID#AAAAZL1kw1I
    (2022-05-11 18:29:41)
النقطة من 60</t>
      </text>
    </comment>
    <comment ref="AD28" authorId="0">
      <text>
        <t xml:space="preserve">======
ID#AAAAZL1kwzE
    (2022-05-11 18:29:41)
النقطة من 20</t>
      </text>
    </comment>
    <comment ref="T35" authorId="0">
      <text>
        <t xml:space="preserve">======
ID#AAAAZL1kw4Q
    (2022-05-11 18:29:41)
النقطة من 60</t>
      </text>
    </comment>
    <comment ref="T38" authorId="0">
      <text>
        <t xml:space="preserve">======
ID#AAAAZL1kw9I
    (2022-05-11 18:29:41)
النقطة من 60</t>
      </text>
    </comment>
    <comment ref="AD25" authorId="0">
      <text>
        <t xml:space="preserve">======
ID#AAAAZL1kwtU
    (2022-05-11 18:29:41)
النقطة من 20</t>
      </text>
    </comment>
    <comment ref="T37" authorId="0">
      <text>
        <t xml:space="preserve">======
ID#AAAAZL1kw54
    (2022-05-11 18:29:41)
النقطة من 60</t>
      </text>
    </comment>
    <comment ref="AD26" authorId="0">
      <text>
        <t xml:space="preserve">======
ID#AAAAZL1kwvE
    (2022-05-11 18:29:41)
النقطة من 20</t>
      </text>
    </comment>
    <comment ref="AD23" authorId="0">
      <text>
        <t xml:space="preserve">======
ID#AAAAZL1kwwg
    (2022-05-11 18:29:41)
النقطة من 20</t>
      </text>
    </comment>
    <comment ref="T39" authorId="0">
      <text>
        <t xml:space="preserve">======
ID#AAAAZL1kxEw
    (2022-05-11 18:29:41)
النقطة من 60</t>
      </text>
    </comment>
    <comment ref="AD24" authorId="0">
      <text>
        <t xml:space="preserve">======
ID#AAAAZL1kw_E
    (2022-05-11 18:29:41)
النقطة من 20</t>
      </text>
    </comment>
    <comment ref="AD21" authorId="0">
      <text>
        <t xml:space="preserve">======
ID#AAAAZL1kxPM
    (2022-05-11 18:29:41)
النقطة من 20</t>
      </text>
    </comment>
    <comment ref="AD22" authorId="0">
      <text>
        <t xml:space="preserve">======
ID#AAAAZL1kxGg
    (2022-05-11 18:29:41)
النقطة من 20</t>
      </text>
    </comment>
    <comment ref="AD20" authorId="0">
      <text>
        <t xml:space="preserve">======
ID#AAAAZL1kxLw
    (2022-05-11 18:29:41)
النقطة من 20</t>
      </text>
    </comment>
    <comment ref="D41" authorId="0">
      <text>
        <t xml:space="preserve">======
ID#AAAAZL1kwx0
    (2022-05-11 18:29:41)
النقطة من 20</t>
      </text>
    </comment>
    <comment ref="D40" authorId="0">
      <text>
        <t xml:space="preserve">======
ID#AAAAZL1kxFE
    (2022-05-11 18:29:41)
النقطة من 20</t>
      </text>
    </comment>
    <comment ref="AD40" authorId="0">
      <text>
        <t xml:space="preserve">======
ID#AAAAZL1kw48
    (2022-05-11 18:29:41)
النقطة من 20</t>
      </text>
    </comment>
    <comment ref="D43" authorId="0">
      <text>
        <t xml:space="preserve">======
ID#AAAAZL1kw2k
    (2022-05-11 18:29:41)
النقطة من 20</t>
      </text>
    </comment>
    <comment ref="D42" authorId="0">
      <text>
        <t xml:space="preserve">======
ID#AAAAZL1kw4E
    (2022-05-11 18:29:41)
النقطة من 20</t>
      </text>
    </comment>
    <comment ref="D45" authorId="0">
      <text>
        <t xml:space="preserve">======
ID#AAAAZL1kw0s
    (2022-05-11 18:29:41)
النقطة من 20</t>
      </text>
    </comment>
    <comment ref="D44" authorId="0">
      <text>
        <t xml:space="preserve">======
ID#AAAAZL1kw6g
    (2022-05-11 18:29:41)
النقطة من 20</t>
      </text>
    </comment>
    <comment ref="D47" authorId="0">
      <text>
        <t xml:space="preserve">======
ID#AAAAZL1kxE4
    (2022-05-11 18:29:41)
النقطة من 20</t>
      </text>
    </comment>
    <comment ref="D46" authorId="0">
      <text>
        <t xml:space="preserve">======
ID#AAAAZL1kw0A
    (2022-05-11 18:29:41)
النقطة من 20</t>
      </text>
    </comment>
    <comment ref="D49" authorId="0">
      <text>
        <t xml:space="preserve">======
ID#AAAAZL1kxBI
    (2022-05-11 18:29:41)
النقطة من 20</t>
      </text>
    </comment>
    <comment ref="D48" authorId="0">
      <text>
        <t xml:space="preserve">======
ID#AAAAZL1kwqw
    (2022-05-11 18:29:41)
النقطة من 20</t>
      </text>
    </comment>
    <comment ref="T41" authorId="0">
      <text>
        <t xml:space="preserve">======
ID#AAAAZL1kw3c
    (2022-05-11 18:29:41)
النقطة من 60</t>
      </text>
    </comment>
    <comment ref="T40" authorId="0">
      <text>
        <t xml:space="preserve">======
ID#AAAAZL1kw4g
    (2022-05-11 18:29:41)
النقطة من 60</t>
      </text>
    </comment>
    <comment ref="T43" authorId="0">
      <text>
        <t xml:space="preserve">======
ID#AAAAZL1kw0g
    (2022-05-11 18:29:41)
النقطة من 60</t>
      </text>
    </comment>
    <comment ref="T42" authorId="0">
      <text>
        <t xml:space="preserve">======
ID#AAAAZL1kxDE
    (2022-05-11 18:29:41)
النقطة من 60</t>
      </text>
    </comment>
    <comment ref="AC19" authorId="0">
      <text>
        <t xml:space="preserve">======
ID#AAAAZL1kxGs
    (2022-05-11 18:29:41)
النقطة من 20</t>
      </text>
    </comment>
    <comment ref="T45" authorId="0">
      <text>
        <t xml:space="preserve">======
ID#AAAAZL1kw6k
    (2022-05-11 18:29:41)
النقطة من 60</t>
      </text>
    </comment>
    <comment ref="T44" authorId="0">
      <text>
        <t xml:space="preserve">======
ID#AAAAZL1kw8o
    (2022-05-11 18:29:41)
النقطة من 60</t>
      </text>
    </comment>
    <comment ref="T47" authorId="0">
      <text>
        <t xml:space="preserve">======
ID#AAAAZL1kxCw
    (2022-05-11 18:29:41)
النقطة من 60</t>
      </text>
    </comment>
    <comment ref="AC17" authorId="0">
      <text>
        <t xml:space="preserve">======
ID#AAAAZL1kw_Q
    (2022-05-11 18:29:41)
النقطة من 20</t>
      </text>
    </comment>
    <comment ref="AD38" authorId="0">
      <text>
        <t xml:space="preserve">======
ID#AAAAZL1kw3Y
    (2022-05-11 18:29:41)
النقطة من 20</t>
      </text>
    </comment>
    <comment ref="AC18" authorId="0">
      <text>
        <t xml:space="preserve">======
ID#AAAAZL1kwww
    (2022-05-11 18:29:41)
النقطة من 20</t>
      </text>
    </comment>
    <comment ref="AD39" authorId="0">
      <text>
        <t xml:space="preserve">======
ID#AAAAZL1kw6E
    (2022-05-11 18:29:41)
النقطة من 20</t>
      </text>
    </comment>
    <comment ref="T46" authorId="0">
      <text>
        <t xml:space="preserve">======
ID#AAAAZL1kwrU
    (2022-05-11 18:29:41)
النقطة من 60</t>
      </text>
    </comment>
    <comment ref="AC15" authorId="0">
      <text>
        <t xml:space="preserve">======
ID#AAAAZL1kxMM
    (2022-05-11 18:29:41)
النقطة من 20</t>
      </text>
    </comment>
    <comment ref="T49" authorId="0">
      <text>
        <t xml:space="preserve">======
ID#AAAAZL1kxO0
    (2022-05-11 18:29:41)
النقطة من 60</t>
      </text>
    </comment>
    <comment ref="AD36" authorId="0">
      <text>
        <t xml:space="preserve">======
ID#AAAAZL1kwxQ
    (2022-05-11 18:29:41)
النقطة من 20</t>
      </text>
    </comment>
    <comment ref="AD37" authorId="0">
      <text>
        <t xml:space="preserve">======
ID#AAAAZL1kw4c
    (2022-05-11 18:29:41)
النقطة من 20</t>
      </text>
    </comment>
    <comment ref="AC16" authorId="0">
      <text>
        <t xml:space="preserve">======
ID#AAAAZL1kwu8
    (2022-05-11 18:29:41)
النقطة من 20</t>
      </text>
    </comment>
    <comment ref="T48" authorId="0">
      <text>
        <t xml:space="preserve">======
ID#AAAAZL1kwsA
    (2022-05-11 18:29:41)
النقطة من 60</t>
      </text>
    </comment>
    <comment ref="AD34" authorId="0">
      <text>
        <t xml:space="preserve">======
ID#AAAAZL1kw8k
    (2022-05-11 18:29:41)
النقطة من 20</t>
      </text>
    </comment>
    <comment ref="AC13" authorId="0">
      <text>
        <t xml:space="preserve">======
ID#AAAAZL1kwy0
    (2022-05-11 18:29:41)
النقطة من 20</t>
      </text>
    </comment>
    <comment ref="AD35" authorId="0">
      <text>
        <t xml:space="preserve">======
ID#AAAAZL1kxEE
    (2022-05-11 18:29:41)
النقطة من 20</t>
      </text>
    </comment>
    <comment ref="AC14" authorId="0">
      <text>
        <t xml:space="preserve">======
ID#AAAAZL1kw_c
    (2022-05-11 18:29:41)
النقطة من 20</t>
      </text>
    </comment>
    <comment ref="AC11" authorId="0">
      <text>
        <t xml:space="preserve">======
ID#AAAAZL1kxII
    (2022-05-11 18:29:41)
النقطة من 20</t>
      </text>
    </comment>
    <comment ref="AD32" authorId="0">
      <text>
        <t xml:space="preserve">======
ID#AAAAZL1kw_g
    (2022-05-11 18:29:41)
النقطة من 20</t>
      </text>
    </comment>
    <comment ref="AC12" authorId="0">
      <text>
        <t xml:space="preserve">======
ID#AAAAZL1kxGk
    (2022-05-11 18:29:41)
النقطة من 20</t>
      </text>
    </comment>
    <comment ref="AD33" authorId="0">
      <text>
        <t xml:space="preserve">======
ID#AAAAZL1kw5o
    (2022-05-11 18:29:41)
النقطة من 20</t>
      </text>
    </comment>
    <comment ref="AD30" authorId="0">
      <text>
        <t xml:space="preserve">======
ID#AAAAZL1kxB4
    (2022-05-11 18:29:41)
النقطة من 20</t>
      </text>
    </comment>
    <comment ref="D50" authorId="0">
      <text>
        <t xml:space="preserve">======
ID#AAAAZL1kw70
    (2022-05-11 18:29:41)
النقطة من 20</t>
      </text>
    </comment>
    <comment ref="AC10" authorId="0">
      <text>
        <t xml:space="preserve">======
ID#AAAAZL1kxJ0
    (2022-05-11 18:29:41)
النقطة من 20</t>
      </text>
    </comment>
    <comment ref="AD31" authorId="0">
      <text>
        <t xml:space="preserve">======
ID#AAAAZL1kwuE
    (2022-05-11 18:29:41)
النقطة من 20</t>
      </text>
    </comment>
    <comment ref="D52" authorId="0">
      <text>
        <t xml:space="preserve">======
ID#AAAAZL1kwr4
    (2022-05-11 18:29:41)
النقطة من 20</t>
      </text>
    </comment>
    <comment ref="AD50" authorId="0">
      <text>
        <t xml:space="preserve">======
ID#AAAAZL1kww0
    (2022-05-11 18:29:41)
النقطة من 20</t>
      </text>
    </comment>
    <comment ref="AD51" authorId="0">
      <text>
        <t xml:space="preserve">======
ID#AAAAZL1kxE8
    (2022-05-11 18:29:41)
النقطة من 20</t>
      </text>
    </comment>
    <comment ref="AC30" authorId="0">
      <text>
        <t xml:space="preserve">======
ID#AAAAZL1kw7U
    (2022-05-11 18:29:41)
النقطة من 20</t>
      </text>
    </comment>
    <comment ref="D51" authorId="0">
      <text>
        <t xml:space="preserve">======
ID#AAAAZL1kw88
    (2022-05-11 18:29:41)
النقطة من 20</t>
      </text>
    </comment>
    <comment ref="D54" authorId="0">
      <text>
        <t xml:space="preserve">======
ID#AAAAZL1kwvM
    (2022-05-11 18:29:41)
النقطة من 20</t>
      </text>
    </comment>
    <comment ref="D53" authorId="0">
      <text>
        <t xml:space="preserve">======
ID#AAAAZL1kxAU
    (2022-05-11 18:29:41)
النقطة من 20</t>
      </text>
    </comment>
    <comment ref="D56" authorId="0">
      <text>
        <t xml:space="preserve">======
ID#AAAAZL1kxN8
    (2022-05-11 18:29:41)
النقطة من 20</t>
      </text>
    </comment>
    <comment ref="D55" authorId="0">
      <text>
        <t xml:space="preserve">======
ID#AAAAZL1kw-I
    (2022-05-11 18:29:41)
النقطة من 20</t>
      </text>
    </comment>
    <comment ref="D57" authorId="0">
      <text>
        <t xml:space="preserve">======
ID#AAAAZL1kxPc
    (2022-05-11 18:29:41)
النقطة من 20</t>
      </text>
    </comment>
    <comment ref="P8" authorId="0">
      <text>
        <t xml:space="preserve">======
ID#AAAAZL1kxNU
    (2022-05-11 18:29:41)
النقطة من 20</t>
      </text>
    </comment>
    <comment ref="P9" authorId="0">
      <text>
        <t xml:space="preserve">======
ID#AAAAZL1kxOg
    (2022-05-11 18:29:41)
النقطة من 20</t>
      </text>
    </comment>
    <comment ref="T50" authorId="0">
      <text>
        <t xml:space="preserve">======
ID#AAAAZL1kw_w
    (2022-05-11 18:29:41)
النقطة من 60</t>
      </text>
    </comment>
    <comment ref="T52" authorId="0">
      <text>
        <t xml:space="preserve">======
ID#AAAAZL1kwuo
    (2022-05-11 18:29:41)
النقطة من 60</t>
      </text>
    </comment>
    <comment ref="R10" authorId="0">
      <text>
        <t xml:space="preserve">======
ID#AAAAZL1kw5g
    (2022-05-11 18:29:41)
النقطة من 20</t>
      </text>
    </comment>
    <comment ref="T51" authorId="0">
      <text>
        <t xml:space="preserve">======
ID#AAAAZL1kwuQ
    (2022-05-11 18:29:41)
النقطة من 60</t>
      </text>
    </comment>
    <comment ref="R12" authorId="0">
      <text>
        <t xml:space="preserve">======
ID#AAAAZL1kxEY
    (2022-05-11 18:29:41)
النقطة من 20</t>
      </text>
    </comment>
    <comment ref="T54" authorId="0">
      <text>
        <t xml:space="preserve">======
ID#AAAAZL1kwyc
    (2022-05-11 18:29:41)
النقطة من 60</t>
      </text>
    </comment>
    <comment ref="T53" authorId="0">
      <text>
        <t xml:space="preserve">======
ID#AAAAZL1kw9s
    (2022-05-11 18:29:41)
النقطة من 60</t>
      </text>
    </comment>
    <comment ref="R11" authorId="0">
      <text>
        <t xml:space="preserve">======
ID#AAAAZL1kwrw
    (2022-05-11 18:29:41)
النقطة من 20</t>
      </text>
    </comment>
    <comment ref="T56" authorId="0">
      <text>
        <t xml:space="preserve">======
ID#AAAAZL1kxHo
    (2022-05-11 18:29:41)
النقطة من 60</t>
      </text>
    </comment>
    <comment ref="R14" authorId="0">
      <text>
        <t xml:space="preserve">======
ID#AAAAZL1kw14
    (2022-05-11 18:29:41)
النقطة من 20</t>
      </text>
    </comment>
    <comment ref="T55" authorId="0">
      <text>
        <t xml:space="preserve">======
ID#AAAAZL1kxF8
    (2022-05-11 18:29:41)
النقطة من 60</t>
      </text>
    </comment>
    <comment ref="R13" authorId="0">
      <text>
        <t xml:space="preserve">======
ID#AAAAZL1kwwc
    (2022-05-11 18:29:41)
النقطة من 20</t>
      </text>
    </comment>
    <comment ref="AD49" authorId="0">
      <text>
        <t xml:space="preserve">======
ID#AAAAZL1kwuk
    (2022-05-11 18:29:41)
النقطة من 20</t>
      </text>
    </comment>
    <comment ref="R16" authorId="0">
      <text>
        <t xml:space="preserve">======
ID#AAAAZL1kw3k
    (2022-05-11 18:29:41)
النقطة من 20</t>
      </text>
    </comment>
    <comment ref="AC28" authorId="0">
      <text>
        <t xml:space="preserve">======
ID#AAAAZL1kw50
    (2022-05-11 18:29:41)
النقطة من 20</t>
      </text>
    </comment>
    <comment ref="T57" authorId="0">
      <text>
        <t xml:space="preserve">======
ID#AAAAZL1kxNM
    (2022-05-11 18:29:41)
النقطة من 60</t>
      </text>
    </comment>
    <comment ref="AC29" authorId="0">
      <text>
        <t xml:space="preserve">======
ID#AAAAZL1kw2Q
    (2022-05-11 18:29:41)
النقطة من 20</t>
      </text>
    </comment>
    <comment ref="R15" authorId="0">
      <text>
        <t xml:space="preserve">======
ID#AAAAZL1kw3g
    (2022-05-11 18:29:41)
النقطة من 20</t>
      </text>
    </comment>
    <comment ref="R18" authorId="0">
      <text>
        <t xml:space="preserve">======
ID#AAAAZL1kwys
    (2022-05-11 18:29:41)
النقطة من 20</t>
      </text>
    </comment>
    <comment ref="AD47" authorId="0">
      <text>
        <t xml:space="preserve">======
ID#AAAAZL1kwsk
    (2022-05-11 18:29:41)
النقطة من 20</t>
      </text>
    </comment>
    <comment ref="AC26" authorId="0">
      <text>
        <t xml:space="preserve">======
ID#AAAAZL1kw1Q
    (2022-05-11 18:29:41)
النقطة من 20</t>
      </text>
    </comment>
    <comment ref="AD48" authorId="0">
      <text>
        <t xml:space="preserve">======
ID#AAAAZL1kxAw
    (2022-05-11 18:29:41)
النقطة من 20</t>
      </text>
    </comment>
    <comment ref="AC27" authorId="0">
      <text>
        <t xml:space="preserve">======
ID#AAAAZL1kw4M
    (2022-05-11 18:29:41)
النقطة من 20</t>
      </text>
    </comment>
    <comment ref="R17" authorId="0">
      <text>
        <t xml:space="preserve">======
ID#AAAAZL1kw0o
    (2022-05-11 18:29:41)
النقطة من 20</t>
      </text>
    </comment>
    <comment ref="AC24" authorId="0">
      <text>
        <t xml:space="preserve">======
ID#AAAAZL1kwzg
    (2022-05-11 18:29:41)
النقطة من 20</t>
      </text>
    </comment>
    <comment ref="AD45" authorId="0">
      <text>
        <t xml:space="preserve">======
ID#AAAAZL1kw7E
    (2022-05-11 18:29:41)
النقطة من 20</t>
      </text>
    </comment>
    <comment ref="R19" authorId="0">
      <text>
        <t xml:space="preserve">======
ID#AAAAZL1kxFw
    (2022-05-11 18:29:41)
النقطة من 20</t>
      </text>
    </comment>
    <comment ref="AC25" authorId="0">
      <text>
        <t xml:space="preserve">======
ID#AAAAZL1kxCM
    (2022-05-11 18:29:41)
النقطة من 20</t>
      </text>
    </comment>
    <comment ref="AD46" authorId="0">
      <text>
        <t xml:space="preserve">======
ID#AAAAZL1kw6A
    (2022-05-11 18:29:41)
النقطة من 20</t>
      </text>
    </comment>
    <comment ref="AD43" authorId="0">
      <text>
        <t xml:space="preserve">======
ID#AAAAZL1kxCk
    (2022-05-11 18:29:41)
النقطة من 20</t>
      </text>
    </comment>
    <comment ref="AC22" authorId="0">
      <text>
        <t xml:space="preserve">======
ID#AAAAZL1kw6w
    (2022-05-11 18:29:41)
النقطة من 20</t>
      </text>
    </comment>
    <comment ref="AC23" authorId="0">
      <text>
        <t xml:space="preserve">======
ID#AAAAZL1kw7o
    (2022-05-11 18:29:41)
النقطة من 20</t>
      </text>
    </comment>
    <comment ref="AD44" authorId="0">
      <text>
        <t xml:space="preserve">======
ID#AAAAZL1kw1Y
    (2022-05-11 18:29:41)
النقطة من 20</t>
      </text>
    </comment>
    <comment ref="AC20" authorId="0">
      <text>
        <t xml:space="preserve">======
ID#AAAAZL1kxAY
    (2022-05-11 18:29:41)
النقطة من 20</t>
      </text>
    </comment>
    <comment ref="AD41" authorId="0">
      <text>
        <t xml:space="preserve">======
ID#AAAAZL1kw3U
    (2022-05-11 18:29:41)
النقطة من 20</t>
      </text>
    </comment>
    <comment ref="AC21" authorId="0">
      <text>
        <t xml:space="preserve">======
ID#AAAAZL1kwus
    (2022-05-11 18:29:41)
النقطة من 20</t>
      </text>
    </comment>
    <comment ref="AD42" authorId="0">
      <text>
        <t xml:space="preserve">======
ID#AAAAZL1kw4U
    (2022-05-11 18:29:41)
النقطة من 20</t>
      </text>
    </comment>
    <comment ref="AC40" authorId="0">
      <text>
        <t xml:space="preserve">======
ID#AAAAZL1kwzA
    (2022-05-11 18:29:41)
النقطة من 20</t>
      </text>
    </comment>
    <comment ref="AC41" authorId="0">
      <text>
        <t xml:space="preserve">======
ID#AAAAZL1kw8g
    (2022-05-11 18:29:41)
النقطة من 20</t>
      </text>
    </comment>
    <comment ref="AB20" authorId="0">
      <text>
        <t xml:space="preserve">======
ID#AAAAZL1kw0U
    (2022-05-11 18:29:41)
النقطة من 20</t>
      </text>
    </comment>
    <comment ref="Q8" authorId="0">
      <text>
        <t xml:space="preserve">======
ID#AAAAZL1kxKs
    (2022-05-11 18:29:41)
النقطة من 20</t>
      </text>
    </comment>
    <comment ref="Q9" authorId="0">
      <text>
        <t xml:space="preserve">======
ID#AAAAZL1kxJw
    (2022-05-11 18:29:41)
النقطة من 20</t>
      </text>
    </comment>
    <comment ref="R21" authorId="0">
      <text>
        <t xml:space="preserve">======
ID#AAAAZL1kw30
    (2022-05-11 18:29:41)
النقطة من 20</t>
      </text>
    </comment>
    <comment ref="R20" authorId="0">
      <text>
        <t xml:space="preserve">======
ID#AAAAZL1kxCg
    (2022-05-11 18:29:41)
النقطة من 20</t>
      </text>
    </comment>
    <comment ref="R23" authorId="0">
      <text>
        <t xml:space="preserve">======
ID#AAAAZL1kw5s
    (2022-05-11 18:29:41)
النقطة من 20</t>
      </text>
    </comment>
    <comment ref="R22" authorId="0">
      <text>
        <t xml:space="preserve">======
ID#AAAAZL1kw2U
    (2022-05-11 18:29:41)
النقطة من 20</t>
      </text>
    </comment>
    <comment ref="R25" authorId="0">
      <text>
        <t xml:space="preserve">======
ID#AAAAZL1kxFA
    (2022-05-11 18:29:41)
النقطة من 20</t>
      </text>
    </comment>
    <comment ref="R24" authorId="0">
      <text>
        <t xml:space="preserve">======
ID#AAAAZL1kw9A
    (2022-05-11 18:29:41)
النقطة من 20</t>
      </text>
    </comment>
    <comment ref="R27" authorId="0">
      <text>
        <t xml:space="preserve">======
ID#AAAAZL1kw98
    (2022-05-11 18:29:41)
النقطة من 20</t>
      </text>
    </comment>
    <comment ref="AC39" authorId="0">
      <text>
        <t xml:space="preserve">======
ID#AAAAZL1kwv0
    (2022-05-11 18:29:41)
النقطة من 20</t>
      </text>
    </comment>
    <comment ref="AB18" authorId="0">
      <text>
        <t xml:space="preserve">======
ID#AAAAZL1kw28
    (2022-05-11 18:29:41)
النقطة من 20</t>
      </text>
    </comment>
    <comment ref="R26" authorId="0">
      <text>
        <t xml:space="preserve">======
ID#AAAAZL1kwxc
    (2022-05-11 18:29:41)
النقطة من 20</t>
      </text>
    </comment>
    <comment ref="AB19" authorId="0">
      <text>
        <t xml:space="preserve">======
ID#AAAAZL1kw2I
    (2022-05-11 18:29:41)
النقطة من 20</t>
      </text>
    </comment>
    <comment ref="R29" authorId="0">
      <text>
        <t xml:space="preserve">======
ID#AAAAZL1kxNo
    (2022-05-11 18:29:41)
النقطة من 20</t>
      </text>
    </comment>
    <comment ref="AB16" authorId="0">
      <text>
        <t xml:space="preserve">======
ID#AAAAZL1kw1g
    (2022-05-11 18:29:41)
النقطة من 20</t>
      </text>
    </comment>
    <comment ref="AC37" authorId="0">
      <text>
        <t xml:space="preserve">======
ID#AAAAZL1kws0
    (2022-05-11 18:29:41)
النقطة من 20</t>
      </text>
    </comment>
    <comment ref="AC38" authorId="0">
      <text>
        <t xml:space="preserve">======
ID#AAAAZL1kxCo
    (2022-05-11 18:29:41)
النقطة من 20</t>
      </text>
    </comment>
    <comment ref="AB17" authorId="0">
      <text>
        <t xml:space="preserve">======
ID#AAAAZL1kw5Y
    (2022-05-11 18:29:41)
النقطة من 20</t>
      </text>
    </comment>
    <comment ref="R28" authorId="0">
      <text>
        <t xml:space="preserve">======
ID#AAAAZL1kwt8
    (2022-05-11 18:29:41)
النقطة من 20</t>
      </text>
    </comment>
    <comment ref="AD56" authorId="0">
      <text>
        <t xml:space="preserve">======
ID#AAAAZL1kxC8
    (2022-05-11 18:29:41)
النقطة من 20</t>
      </text>
    </comment>
    <comment ref="AB14" authorId="0">
      <text>
        <t xml:space="preserve">======
ID#AAAAZL1kwzs
    (2022-05-11 18:29:41)
النقطة من 20</t>
      </text>
    </comment>
    <comment ref="AC35" authorId="0">
      <text>
        <t xml:space="preserve">======
ID#AAAAZL1kw5I
    (2022-05-11 18:29:41)
النقطة من 20</t>
      </text>
    </comment>
    <comment ref="AB15" authorId="0">
      <text>
        <t xml:space="preserve">======
ID#AAAAZL1kxEo
    (2022-05-11 18:29:41)
النقطة من 20</t>
      </text>
    </comment>
    <comment ref="AC36" authorId="0">
      <text>
        <t xml:space="preserve">======
ID#AAAAZL1kw8Y
    (2022-05-11 18:29:41)
النقطة من 20</t>
      </text>
    </comment>
    <comment ref="AD57" authorId="0">
      <text>
        <t xml:space="preserve">======
ID#AAAAZL1kwz0
    (2022-05-11 18:29:41)
النقطة من 20</t>
      </text>
    </comment>
    <comment ref="AD54" authorId="0">
      <text>
        <t xml:space="preserve">======
ID#AAAAZL1kxBM
    (2022-05-11 18:29:41)
النقطة من 20</t>
      </text>
    </comment>
    <comment ref="AB12" authorId="0">
      <text>
        <t xml:space="preserve">======
ID#AAAAZL1kwtQ
    (2022-05-11 18:29:41)
النقطة من 20</t>
      </text>
    </comment>
    <comment ref="AC33" authorId="0">
      <text>
        <t xml:space="preserve">======
ID#AAAAZL1kw3A
    (2022-05-11 18:29:41)
النقطة من 20</t>
      </text>
    </comment>
    <comment ref="AB13" authorId="0">
      <text>
        <t xml:space="preserve">======
ID#AAAAZL1kw-g
    (2022-05-11 18:29:41)
النقطة من 20</t>
      </text>
    </comment>
    <comment ref="AC34" authorId="0">
      <text>
        <t xml:space="preserve">======
ID#AAAAZL1kw1k
    (2022-05-11 18:29:41)
النقطة من 20</t>
      </text>
    </comment>
    <comment ref="AD55" authorId="0">
      <text>
        <t xml:space="preserve">======
ID#AAAAZL1kwtA
    (2022-05-11 18:29:41)
النقطة من 20</t>
      </text>
    </comment>
    <comment ref="AB10" authorId="0">
      <text>
        <t xml:space="preserve">======
ID#AAAAZL1kw9o
    (2022-05-11 18:29:41)
النقطة من 20</t>
      </text>
    </comment>
    <comment ref="AD52" authorId="0">
      <text>
        <t xml:space="preserve">======
ID#AAAAZL1kwsE
    (2022-05-11 18:29:41)
النقطة من 20</t>
      </text>
    </comment>
    <comment ref="AC31" authorId="0">
      <text>
        <t xml:space="preserve">======
ID#AAAAZL1kw1U
    (2022-05-11 18:29:41)
النقطة من 20</t>
      </text>
    </comment>
    <comment ref="AD53" authorId="0">
      <text>
        <t xml:space="preserve">======
ID#AAAAZL1kw5M
    (2022-05-11 18:29:41)
النقطة من 20</t>
      </text>
    </comment>
    <comment ref="AC32" authorId="0">
      <text>
        <t xml:space="preserve">======
ID#AAAAZL1kw4o
    (2022-05-11 18:29:41)
النقطة من 20</t>
      </text>
    </comment>
    <comment ref="AB11" authorId="0">
      <text>
        <t xml:space="preserve">======
ID#AAAAZL1kwvA
    (2022-05-11 18:29:41)
النقطة من 20</t>
      </text>
    </comment>
    <comment ref="AB30" authorId="0">
      <text>
        <t xml:space="preserve">======
ID#AAAAZL1kw04
    (2022-05-11 18:29:41)
النقطة من 20</t>
      </text>
    </comment>
    <comment ref="AC51" authorId="0">
      <text>
        <t xml:space="preserve">======
ID#AAAAZL1kwsw
    (2022-05-11 18:29:41)
النقطة من 20</t>
      </text>
    </comment>
    <comment ref="AC52" authorId="0">
      <text>
        <t xml:space="preserve">======
ID#AAAAZL1kxGw
    (2022-05-11 18:29:41)
النقطة من 20</t>
      </text>
    </comment>
    <comment ref="AB31" authorId="0">
      <text>
        <t xml:space="preserve">======
ID#AAAAZL1kw8Q
    (2022-05-11 18:29:41)
النقطة من 20</t>
      </text>
    </comment>
    <comment ref="AC50" authorId="0">
      <text>
        <t xml:space="preserve">======
ID#AAAAZL1kxAs
    (2022-05-11 18:29:41)
النقطة من 20</t>
      </text>
    </comment>
    <comment ref="R8" authorId="0">
      <text>
        <t xml:space="preserve">======
ID#AAAAZL1kxNE
    (2022-05-11 18:29:41)
النقطة من 20</t>
      </text>
    </comment>
    <comment ref="R9" authorId="0">
      <text>
        <t xml:space="preserve">======
ID#AAAAZL1kwvQ
    (2022-05-11 18:29:41)
النقطة من 20</t>
      </text>
    </comment>
    <comment ref="R30" authorId="0">
      <text>
        <t xml:space="preserve">======
ID#AAAAZL1kw5U
    (2022-05-11 18:29:41)
النقطة من 20</t>
      </text>
    </comment>
    <comment ref="Q11" authorId="0">
      <text>
        <t xml:space="preserve">======
ID#AAAAZL1kw4I
    (2022-05-11 18:29:41)
النقطة من 20</t>
      </text>
    </comment>
    <comment ref="R32" authorId="0">
      <text>
        <t xml:space="preserve">======
ID#AAAAZL1kwtE
    (2022-05-11 18:29:41)
النقطة من 20</t>
      </text>
    </comment>
    <comment ref="R31" authorId="0">
      <text>
        <t xml:space="preserve">======
ID#AAAAZL1kw-8
    (2022-05-11 18:29:41)
النقطة من 20</t>
      </text>
    </comment>
    <comment ref="Q10" authorId="0">
      <text>
        <t xml:space="preserve">======
ID#AAAAZL1kw3E
    (2022-05-11 18:29:41)
النقطة من 20</t>
      </text>
    </comment>
    <comment ref="Q13" authorId="0">
      <text>
        <t xml:space="preserve">======
ID#AAAAZL1kw1o
    (2022-05-11 18:29:41)
النقطة من 20</t>
      </text>
    </comment>
    <comment ref="R34" authorId="0">
      <text>
        <t xml:space="preserve">======
ID#AAAAZL1kwss
    (2022-05-11 18:29:41)
النقطة من 20</t>
      </text>
    </comment>
    <comment ref="R33" authorId="0">
      <text>
        <t xml:space="preserve">======
ID#AAAAZL1kxC0
    (2022-05-11 18:29:41)
النقطة من 20</t>
      </text>
    </comment>
    <comment ref="Q12" authorId="0">
      <text>
        <t xml:space="preserve">======
ID#AAAAZL1kw5E
    (2022-05-11 18:29:41)
النقطة من 20</t>
      </text>
    </comment>
    <comment ref="R36" authorId="0">
      <text>
        <t xml:space="preserve">======
ID#AAAAZL1kxPk
    (2022-05-11 18:29:41)
النقطة من 20</t>
      </text>
    </comment>
    <comment ref="Q15" authorId="0">
      <text>
        <t xml:space="preserve">======
ID#AAAAZL1kxCs
    (2022-05-11 18:29:41)
النقطة من 20</t>
      </text>
    </comment>
    <comment ref="R35" authorId="0">
      <text>
        <t xml:space="preserve">======
ID#AAAAZL1kxPU
    (2022-05-11 18:29:41)
النقطة من 20</t>
      </text>
    </comment>
    <comment ref="Q14" authorId="0">
      <text>
        <t xml:space="preserve">======
ID#AAAAZL1kwzc
    (2022-05-11 18:29:41)
النقطة من 20</t>
      </text>
    </comment>
    <comment ref="R38" authorId="0">
      <text>
        <t xml:space="preserve">======
ID#AAAAZL1kxKM
    (2022-05-11 18:29:41)
النقطة من 20</t>
      </text>
    </comment>
    <comment ref="Q17" authorId="0">
      <text>
        <t xml:space="preserve">======
ID#AAAAZL1kxAE
    (2022-05-11 18:29:41)
النقطة من 20</t>
      </text>
    </comment>
    <comment ref="AB29" authorId="0">
      <text>
        <t xml:space="preserve">======
ID#AAAAZL1kwvk
    (2022-05-11 18:29:41)
النقطة من 20</t>
      </text>
    </comment>
    <comment ref="R37" authorId="0">
      <text>
        <t xml:space="preserve">======
ID#AAAAZL1kxHY
    (2022-05-11 18:29:41)
النقطة من 20</t>
      </text>
    </comment>
    <comment ref="Q16" authorId="0">
      <text>
        <t xml:space="preserve">======
ID#AAAAZL1kws4
    (2022-05-11 18:29:41)
النقطة من 20</t>
      </text>
    </comment>
    <comment ref="AC48" authorId="0">
      <text>
        <t xml:space="preserve">======
ID#AAAAZL1kxMo
    (2022-05-11 18:29:41)
النقطة من 20</t>
      </text>
    </comment>
    <comment ref="AB27" authorId="0">
      <text>
        <t xml:space="preserve">======
ID#AAAAZL1kwwA
    (2022-05-11 18:29:41)
النقطة من 20</t>
      </text>
    </comment>
    <comment ref="Q19" authorId="0">
      <text>
        <t xml:space="preserve">======
ID#AAAAZL1kwsY
    (2022-05-11 18:29:41)
النقطة من 20</t>
      </text>
    </comment>
    <comment ref="R39" authorId="0">
      <text>
        <t xml:space="preserve">======
ID#AAAAZL1kxLc
    (2022-05-11 18:29:41)
النقطة من 20</t>
      </text>
    </comment>
    <comment ref="AC49" authorId="0">
      <text>
        <t xml:space="preserve">======
ID#AAAAZL1kxIM
    (2022-05-11 18:29:41)
النقطة من 20</t>
      </text>
    </comment>
    <comment ref="AB28" authorId="0">
      <text>
        <t xml:space="preserve">======
ID#AAAAZL1kxAc
    (2022-05-11 18:29:41)
النقطة من 20</t>
      </text>
    </comment>
    <comment ref="Q18" authorId="0">
      <text>
        <t xml:space="preserve">======
ID#AAAAZL1kxBU
    (2022-05-11 18:29:41)
النقطة من 20</t>
      </text>
    </comment>
    <comment ref="AC46" authorId="0">
      <text>
        <t xml:space="preserve">======
ID#AAAAZL1kw-o
    (2022-05-11 18:29:41)
النقطة من 20</t>
      </text>
    </comment>
    <comment ref="AB25" authorId="0">
      <text>
        <t xml:space="preserve">======
ID#AAAAZL1kw7Q
    (2022-05-11 18:29:41)
النقطة من 20</t>
      </text>
    </comment>
    <comment ref="AC47" authorId="0">
      <text>
        <t xml:space="preserve">======
ID#AAAAZL1kxQg
    (2022-05-11 18:29:41)
النقطة من 20</t>
      </text>
    </comment>
    <comment ref="AB26" authorId="0">
      <text>
        <t xml:space="preserve">======
ID#AAAAZL1kxFk
    (2022-05-11 18:29:41)
النقطة من 20</t>
      </text>
    </comment>
    <comment ref="AC44" authorId="0">
      <text>
        <t xml:space="preserve">======
ID#AAAAZL1kxBE
    (2022-05-11 18:29:41)
النقطة من 20</t>
      </text>
    </comment>
    <comment ref="AB23" authorId="0">
      <text>
        <t xml:space="preserve">======
ID#AAAAZL1kw1A
    (2022-05-11 18:29:41)
النقطة من 20</t>
      </text>
    </comment>
    <comment ref="AB24" authorId="0">
      <text>
        <t xml:space="preserve">======
ID#AAAAZL1kw6s
    (2022-05-11 18:29:41)
النقطة من 20</t>
      </text>
    </comment>
    <comment ref="AC45" authorId="0">
      <text>
        <t xml:space="preserve">======
ID#AAAAZL1kwwM
    (2022-05-11 18:29:41)
النقطة من 20</t>
      </text>
    </comment>
    <comment ref="AB21" authorId="0">
      <text>
        <t xml:space="preserve">======
ID#AAAAZL1kxDo
    (2022-05-11 18:29:41)
النقطة من 20</t>
      </text>
    </comment>
    <comment ref="AC42" authorId="0">
      <text>
        <t xml:space="preserve">======
ID#AAAAZL1kw64
    (2022-05-11 18:29:41)
النقطة من 20</t>
      </text>
    </comment>
    <comment ref="AB22" authorId="0">
      <text>
        <t xml:space="preserve">======
ID#AAAAZL1kw2Y
    (2022-05-11 18:29:41)
النقطة من 20</t>
      </text>
    </comment>
    <comment ref="AC43" authorId="0">
      <text>
        <t xml:space="preserve">======
ID#AAAAZL1kwts
    (2022-05-11 18:29:41)
النقطة من 20</t>
      </text>
    </comment>
    <comment ref="AB41" authorId="0">
      <text>
        <t xml:space="preserve">======
ID#AAAAZL1kwx8
    (2022-05-11 18:29:41)
النقطة من 20</t>
      </text>
    </comment>
    <comment ref="AB42" authorId="0">
      <text>
        <t xml:space="preserve">======
ID#AAAAZL1kxGU
    (2022-05-11 18:29:41)
النقطة من 20</t>
      </text>
    </comment>
    <comment ref="AB40" authorId="0">
      <text>
        <t xml:space="preserve">======
ID#AAAAZL1kw-Q
    (2022-05-11 18:29:41)
النقطة من 20</t>
      </text>
    </comment>
    <comment ref="R41" authorId="0">
      <text>
        <t xml:space="preserve">======
ID#AAAAZL1kxFc
    (2022-05-11 18:29:41)
النقطة من 20</t>
      </text>
    </comment>
    <comment ref="Q20" authorId="0">
      <text>
        <t xml:space="preserve">======
ID#AAAAZL1kw7w
    (2022-05-11 18:29:41)
النقطة من 20</t>
      </text>
    </comment>
    <comment ref="R40" authorId="0">
      <text>
        <t xml:space="preserve">======
ID#AAAAZL1kwwU
    (2022-05-11 18:29:41)
النقطة من 20</t>
      </text>
    </comment>
    <comment ref="R43" authorId="0">
      <text>
        <t xml:space="preserve">======
ID#AAAAZL1kxMw
    (2022-05-11 18:29:41)
النقطة من 20</t>
      </text>
    </comment>
    <comment ref="Q22" authorId="0">
      <text>
        <t xml:space="preserve">======
ID#AAAAZL1kwwI
    (2022-05-11 18:29:41)
النقطة من 20</t>
      </text>
    </comment>
    <comment ref="R42" authorId="0">
      <text>
        <t xml:space="preserve">======
ID#AAAAZL1kxOM
    (2022-05-11 18:29:41)
النقطة من 20</t>
      </text>
    </comment>
    <comment ref="Q21" authorId="0">
      <text>
        <t xml:space="preserve">======
ID#AAAAZL1kw_I
    (2022-05-11 18:29:41)
النقطة من 20</t>
      </text>
    </comment>
    <comment ref="R45" authorId="0">
      <text>
        <t xml:space="preserve">======
ID#AAAAZL1kxJU
    (2022-05-11 18:29:41)
النقطة من 20</t>
      </text>
    </comment>
    <comment ref="Q24" authorId="0">
      <text>
        <t xml:space="preserve">======
ID#AAAAZL1kwsQ
    (2022-05-11 18:29:41)
النقطة من 20</t>
      </text>
    </comment>
    <comment ref="R44" authorId="0">
      <text>
        <t xml:space="preserve">======
ID#AAAAZL1kxLI
    (2022-05-11 18:29:41)
النقطة من 20</t>
      </text>
    </comment>
    <comment ref="Q23" authorId="0">
      <text>
        <t xml:space="preserve">======
ID#AAAAZL1kxA4
    (2022-05-11 18:29:41)
النقطة من 20</t>
      </text>
    </comment>
    <comment ref="Q26" authorId="0">
      <text>
        <t xml:space="preserve">======
ID#AAAAZL1kxPg
    (2022-05-11 18:29:41)
النقطة من 20</t>
      </text>
    </comment>
    <comment ref="R47" authorId="0">
      <text>
        <t xml:space="preserve">======
ID#AAAAZL1kxHU
    (2022-05-11 18:29:41)
النقطة من 20</t>
      </text>
    </comment>
    <comment ref="Q25" authorId="0">
      <text>
        <t xml:space="preserve">======
ID#AAAAZL1kxMs
    (2022-05-11 18:29:41)
النقطة من 20</t>
      </text>
    </comment>
    <comment ref="R46" authorId="0">
      <text>
        <t xml:space="preserve">======
ID#AAAAZL1kxDM
    (2022-05-11 18:29:41)
النقطة من 20</t>
      </text>
    </comment>
    <comment ref="R49" authorId="0">
      <text>
        <t xml:space="preserve">======
ID#AAAAZL1kxOI
    (2022-05-11 18:29:41)
النقطة من 20</t>
      </text>
    </comment>
    <comment ref="Q28" authorId="0">
      <text>
        <t xml:space="preserve">======
ID#AAAAZL1kxDY
    (2022-05-11 18:29:41)
النقطة من 20</t>
      </text>
    </comment>
    <comment ref="R48" authorId="0">
      <text>
        <t xml:space="preserve">======
ID#AAAAZL1kxOs
    (2022-05-11 18:29:41)
النقطة من 20</t>
      </text>
    </comment>
    <comment ref="Q27" authorId="0">
      <text>
        <t xml:space="preserve">======
ID#AAAAZL1kwyE
    (2022-05-11 18:29:41)
النقطة من 20</t>
      </text>
    </comment>
    <comment ref="AB38" authorId="0">
      <text>
        <t xml:space="preserve">======
ID#AAAAZL1kxPI
    (2022-05-11 18:29:41)
النقطة من 20</t>
      </text>
    </comment>
    <comment ref="Q29" authorId="0">
      <text>
        <t xml:space="preserve">======
ID#AAAAZL1kxLM
    (2022-05-11 18:29:41)
النقطة من 20</t>
      </text>
    </comment>
    <comment ref="AB39" authorId="0">
      <text>
        <t xml:space="preserve">======
ID#AAAAZL1kxJE
    (2022-05-11 18:29:41)
النقطة من 20</t>
      </text>
    </comment>
    <comment ref="AB36" authorId="0">
      <text>
        <t xml:space="preserve">======
ID#AAAAZL1kw-s
    (2022-05-11 18:29:41)
النقطة من 20</t>
      </text>
    </comment>
    <comment ref="AC57" authorId="0">
      <text>
        <t xml:space="preserve">======
ID#AAAAZL1kxI8
    (2022-05-11 18:29:41)
النقطة من 20</t>
      </text>
    </comment>
    <comment ref="AB37" authorId="0">
      <text>
        <t xml:space="preserve">======
ID#AAAAZL1kxLs
    (2022-05-11 18:29:41)
النقطة من 20</t>
      </text>
    </comment>
    <comment ref="AC55" authorId="0">
      <text>
        <t xml:space="preserve">======
ID#AAAAZL1kxL4
    (2022-05-11 18:29:41)
النقطة من 20</t>
      </text>
    </comment>
    <comment ref="AB34" authorId="0">
      <text>
        <t xml:space="preserve">======
ID#AAAAZL1kxBc
    (2022-05-11 18:29:41)
النقطة من 20</t>
      </text>
    </comment>
    <comment ref="AC56" authorId="0">
      <text>
        <t xml:space="preserve">======
ID#AAAAZL1kxKg
    (2022-05-11 18:29:41)
النقطة من 20</t>
      </text>
    </comment>
    <comment ref="AB35" authorId="0">
      <text>
        <t xml:space="preserve">======
ID#AAAAZL1kwtc
    (2022-05-11 18:29:41)
النقطة من 20</t>
      </text>
    </comment>
    <comment ref="AB32" authorId="0">
      <text>
        <t xml:space="preserve">======
ID#AAAAZL1kw7I
    (2022-05-11 18:29:41)
النقطة من 20</t>
      </text>
    </comment>
    <comment ref="AC53" authorId="0">
      <text>
        <t xml:space="preserve">======
ID#AAAAZL1kwyY
    (2022-05-11 18:29:41)
النقطة من 20</t>
      </text>
    </comment>
    <comment ref="T2" authorId="0">
      <text>
        <t xml:space="preserve">======
ID#AAAAZL1kwrk
    (2022-05-11 18:29:41)
كلمة "خطأ" تعني إدخال علامة غير صحيحة إما في المراقبة المستمرة أو أحد الفروض أو الاختبار.</t>
      </text>
    </comment>
    <comment ref="AC54" authorId="0">
      <text>
        <t xml:space="preserve">======
ID#AAAAZL1kxIg
    (2022-05-11 18:29:41)
النقطة من 20</t>
      </text>
    </comment>
    <comment ref="AB33" authorId="0">
      <text>
        <t xml:space="preserve">======
ID#AAAAZL1kwrc
    (2022-05-11 18:29:41)
النقطة من 20</t>
      </text>
    </comment>
    <comment ref="AB52" authorId="0">
      <text>
        <t xml:space="preserve">======
ID#AAAAZL1kxNQ
    (2022-05-11 18:29:41)
النقطة من 20</t>
      </text>
    </comment>
    <comment ref="AB53" authorId="0">
      <text>
        <t xml:space="preserve">======
ID#AAAAZL1kxH8
    (2022-05-11 18:29:41)
النقطة من 20</t>
      </text>
    </comment>
    <comment ref="AB50" authorId="0">
      <text>
        <t xml:space="preserve">======
ID#AAAAZL1kxHg
    (2022-05-11 18:29:41)
النقطة من 20</t>
      </text>
    </comment>
    <comment ref="AB51" authorId="0">
      <text>
        <t xml:space="preserve">======
ID#AAAAZL1kxLg
    (2022-05-11 18:29:41)
النقطة من 20</t>
      </text>
    </comment>
    <comment ref="T8" authorId="0">
      <text>
        <t xml:space="preserve">======
ID#AAAAZL1kw74
    (2022-05-11 18:29:41)
النقطة من 60</t>
      </text>
    </comment>
    <comment ref="T9" authorId="0">
      <text>
        <t xml:space="preserve">======
ID#AAAAZL1kw9M
    (2022-05-11 18:29:41)
النقطة من 60</t>
      </text>
    </comment>
    <comment ref="R50" authorId="0">
      <text>
        <t xml:space="preserve">======
ID#AAAAZL1kxMI
    (2022-05-11 18:29:41)
النقطة من 20</t>
      </text>
    </comment>
    <comment ref="Q31" authorId="0">
      <text>
        <t xml:space="preserve">======
ID#AAAAZL1kxQE
    (2022-05-11 18:29:41)
النقطة من 20</t>
      </text>
    </comment>
    <comment ref="R52" authorId="0">
      <text>
        <t xml:space="preserve">======
ID#AAAAZL1kxEA
    (2022-05-11 18:29:41)
النقطة من 20</t>
      </text>
    </comment>
    <comment ref="P10" authorId="0">
      <text>
        <t xml:space="preserve">======
ID#AAAAZL1kwrQ
    (2022-05-11 18:29:41)
النقطة من 20</t>
      </text>
    </comment>
    <comment ref="R51" authorId="0">
      <text>
        <t xml:space="preserve">======
ID#AAAAZL1kxIY
    (2022-05-11 18:29:41)
النقطة من 20</t>
      </text>
    </comment>
    <comment ref="Q30" authorId="0">
      <text>
        <t xml:space="preserve">======
ID#AAAAZL1kwyo
    (2022-05-11 18:29:41)
النقطة من 20</t>
      </text>
    </comment>
    <comment ref="Q33" authorId="0">
      <text>
        <t xml:space="preserve">======
ID#AAAAZL1kxIE
    (2022-05-11 18:29:41)
النقطة من 20</t>
      </text>
    </comment>
    <comment ref="R54" authorId="0">
      <text>
        <t xml:space="preserve">======
ID#AAAAZL1kw_k
    (2022-05-11 18:29:41)
النقطة من 20</t>
      </text>
    </comment>
    <comment ref="P12" authorId="0">
      <text>
        <t xml:space="preserve">======
ID#AAAAZL1kwtk
    (2022-05-11 18:29:41)
النقطة من 20</t>
      </text>
    </comment>
    <comment ref="Q32" authorId="0">
      <text>
        <t xml:space="preserve">======
ID#AAAAZL1kxL8
    (2022-05-11 18:29:41)
النقطة من 20</t>
      </text>
    </comment>
    <comment ref="P11" authorId="0">
      <text>
        <t xml:space="preserve">======
ID#AAAAZL1kxD0
    (2022-05-11 18:29:41)
النقطة من 20</t>
      </text>
    </comment>
    <comment ref="R53" authorId="0">
      <text>
        <t xml:space="preserve">======
ID#AAAAZL1kww4
    (2022-05-11 18:29:41)
النقطة من 20</t>
      </text>
    </comment>
    <comment ref="P14" authorId="0">
      <text>
        <t xml:space="preserve">======
ID#AAAAZL1kxMQ
    (2022-05-11 18:29:41)
النقطة من 20</t>
      </text>
    </comment>
    <comment ref="Q35" authorId="0">
      <text>
        <t xml:space="preserve">======
ID#AAAAZL1kww8
    (2022-05-11 18:29:41)
النقطة من 20</t>
      </text>
    </comment>
    <comment ref="R56" authorId="0">
      <text>
        <t xml:space="preserve">======
ID#AAAAZL1kwu0
    (2022-05-11 18:29:41)
النقطة من 20</t>
      </text>
    </comment>
    <comment ref="Q34" authorId="0">
      <text>
        <t xml:space="preserve">======
ID#AAAAZL1kxLY
    (2022-05-11 18:29:41)
النقطة من 20</t>
      </text>
    </comment>
    <comment ref="P13" authorId="0">
      <text>
        <t xml:space="preserve">======
ID#AAAAZL1kxBA
    (2022-05-11 18:29:41)
النقطة من 20</t>
      </text>
    </comment>
    <comment ref="R55" authorId="0">
      <text>
        <t xml:space="preserve">======
ID#AAAAZL1kwtg
    (2022-05-11 18:29:41)
النقطة من 20</t>
      </text>
    </comment>
    <comment ref="Q37" authorId="0">
      <text>
        <t xml:space="preserve">======
ID#AAAAZL1kxOY
    (2022-05-11 18:29:41)
النقطة من 20</t>
      </text>
    </comment>
    <comment ref="P16" authorId="0">
      <text>
        <t xml:space="preserve">======
ID#AAAAZL1kxGY
    (2022-05-11 18:29:41)
النقطة من 20</t>
      </text>
    </comment>
    <comment ref="R57" authorId="0">
      <text>
        <t xml:space="preserve">======
ID#AAAAZL1kw-A
    (2022-05-11 18:29:41)
النقطة من 20</t>
      </text>
    </comment>
    <comment ref="P15" authorId="0">
      <text>
        <t xml:space="preserve">======
ID#AAAAZL1kxO4
    (2022-05-11 18:29:41)
النقطة من 20</t>
      </text>
    </comment>
    <comment ref="Q36" authorId="0">
      <text>
        <t xml:space="preserve">======
ID#AAAAZL1kxIQ
    (2022-05-11 18:29:41)
النقطة من 20</t>
      </text>
    </comment>
    <comment ref="P18" authorId="0">
      <text>
        <t xml:space="preserve">======
ID#AAAAZL1kxIU
    (2022-05-11 18:29:41)
النقطة من 20</t>
      </text>
    </comment>
    <comment ref="Q39" authorId="0">
      <text>
        <t xml:space="preserve">======
ID#AAAAZL1kw_U
    (2022-05-11 18:29:41)
النقطة من 20</t>
      </text>
    </comment>
    <comment ref="Q38" authorId="0">
      <text>
        <t xml:space="preserve">======
ID#AAAAZL1kxP0
    (2022-05-11 18:29:41)
النقطة من 20</t>
      </text>
    </comment>
    <comment ref="P17" authorId="0">
      <text>
        <t xml:space="preserve">======
ID#AAAAZL1kwv8
    (2022-05-11 18:29:41)
النقطة من 20</t>
      </text>
    </comment>
    <comment ref="AB49" authorId="0">
      <text>
        <t xml:space="preserve">======
ID#AAAAZL1kxQM
    (2022-05-11 18:29:41)
النقطة من 20</t>
      </text>
    </comment>
    <comment ref="P19" authorId="0">
      <text>
        <t xml:space="preserve">======
ID#AAAAZL1kxJo
    (2022-05-11 18:29:41)
النقطة من 20</t>
      </text>
    </comment>
    <comment ref="AB47" authorId="0">
      <text>
        <t xml:space="preserve">======
ID#AAAAZL1kxCA
    (2022-05-11 18:29:41)
النقطة من 20</t>
      </text>
    </comment>
    <comment ref="AB48" authorId="0">
      <text>
        <t xml:space="preserve">======
ID#AAAAZL1kwyw
    (2022-05-11 18:29:41)
النقطة من 20</t>
      </text>
    </comment>
    <comment ref="AB45" authorId="0">
      <text>
        <t xml:space="preserve">======
ID#AAAAZL1kxJk
    (2022-05-11 18:29:41)
النقطة من 20</t>
      </text>
    </comment>
    <comment ref="AB46" authorId="0">
      <text>
        <t xml:space="preserve">======
ID#AAAAZL1kxKo
    (2022-05-11 18:29:41)
النقطة من 20</t>
      </text>
    </comment>
    <comment ref="AB43" authorId="0">
      <text>
        <t xml:space="preserve">======
ID#AAAAZL1kxH0
    (2022-05-11 18:29:41)
النقطة من 20</t>
      </text>
    </comment>
    <comment ref="AB44" authorId="0">
      <text>
        <t xml:space="preserve">======
ID#AAAAZL1kxN0
    (2022-05-11 18:29:41)
النقطة من 20</t>
      </text>
    </comment>
    <comment ref="Q40" authorId="0">
      <text>
        <t xml:space="preserve">======
ID#AAAAZL1kxKI
    (2022-05-11 18:29:41)
النقطة من 20</t>
      </text>
    </comment>
    <comment ref="P21" authorId="0">
      <text>
        <t xml:space="preserve">======
ID#AAAAZL1kxQI
    (2022-05-11 18:29:41)
النقطة من 20</t>
      </text>
    </comment>
    <comment ref="Q42" authorId="0">
      <text>
        <t xml:space="preserve">======
ID#AAAAZL1kxCE
    (2022-05-11 18:29:41)
النقطة من 20</t>
      </text>
    </comment>
    <comment ref="Q41" authorId="0">
      <text>
        <t xml:space="preserve">======
ID#AAAAZL1kxIk
    (2022-05-11 18:29:41)
النقطة من 20</t>
      </text>
    </comment>
    <comment ref="P20" authorId="0">
      <text>
        <t xml:space="preserve">======
ID#AAAAZL1kwrY
    (2022-05-11 18:29:41)
النقطة من 20</t>
      </text>
    </comment>
    <comment ref="P23" authorId="0">
      <text>
        <t xml:space="preserve">======
ID#AAAAZL1kxIc
    (2022-05-11 18:29:41)
النقطة من 20</t>
      </text>
    </comment>
    <comment ref="Q44" authorId="0">
      <text>
        <t xml:space="preserve">======
ID#AAAAZL1kw_0
    (2022-05-11 18:29:41)
النقطة من 20</t>
      </text>
    </comment>
    <comment ref="P22" authorId="0">
      <text>
        <t xml:space="preserve">======
ID#AAAAZL1kxOk
    (2022-05-11 18:29:41)
النقطة من 20</t>
      </text>
    </comment>
    <comment ref="Q43" authorId="0">
      <text>
        <t xml:space="preserve">======
ID#AAAAZL1kwy4
    (2022-05-11 18:29:41)
النقطة من 20</t>
      </text>
    </comment>
    <comment ref="P25" authorId="0">
      <text>
        <t xml:space="preserve">======
ID#AAAAZL1kxKA
    (2022-05-11 18:29:41)
النقطة من 20</t>
      </text>
    </comment>
    <comment ref="Q46" authorId="0">
      <text>
        <t xml:space="preserve">======
ID#AAAAZL1kwug
    (2022-05-11 18:29:41)
النقطة من 20</t>
      </text>
    </comment>
    <comment ref="Q45" authorId="0">
      <text>
        <t xml:space="preserve">======
ID#AAAAZL1kxMY
    (2022-05-11 18:29:41)
النقطة من 20</t>
      </text>
    </comment>
    <comment ref="P24" authorId="0">
      <text>
        <t xml:space="preserve">======
ID#AAAAZL1kxB0
    (2022-05-11 18:29:41)
النقطة من 20</t>
      </text>
    </comment>
    <comment ref="P27" authorId="0">
      <text>
        <t xml:space="preserve">======
ID#AAAAZL1kxL0
    (2022-05-11 18:29:41)
النقطة من 20</t>
      </text>
    </comment>
    <comment ref="Q48" authorId="0">
      <text>
        <t xml:space="preserve">======
ID#AAAAZL1kwxg
    (2022-05-11 18:29:41)
النقطة من 20</t>
      </text>
    </comment>
    <comment ref="P26" authorId="0">
      <text>
        <t xml:space="preserve">======
ID#AAAAZL1kxJM
    (2022-05-11 18:29:41)
النقطة من 20</t>
      </text>
    </comment>
    <comment ref="Q47" authorId="0">
      <text>
        <t xml:space="preserve">======
ID#AAAAZL1kxAQ
    (2022-05-11 18:29:41)
النقطة من 20</t>
      </text>
    </comment>
    <comment ref="P29" authorId="0">
      <text>
        <t xml:space="preserve">======
ID#AAAAZL1kxEU
    (2022-05-11 18:29:41)
النقطة من 20</t>
      </text>
    </comment>
    <comment ref="P28" authorId="0">
      <text>
        <t xml:space="preserve">======
ID#AAAAZL1kxPw
    (2022-05-11 18:29:41)
النقطة من 20</t>
      </text>
    </comment>
    <comment ref="Q49" authorId="0">
      <text>
        <t xml:space="preserve">======
ID#AAAAZL1kxGM
    (2022-05-11 18:29:41)
النقطة من 20</t>
      </text>
    </comment>
    <comment ref="AB56" authorId="0">
      <text>
        <t xml:space="preserve">======
ID#AAAAZL1kwrg
    (2022-05-11 18:29:41)
النقطة من 20</t>
      </text>
    </comment>
    <comment ref="AB57" authorId="0">
      <text>
        <t xml:space="preserve">======
ID#AAAAZL1kxBw
    (2022-05-11 18:29:41)
النقطة من 20</t>
      </text>
    </comment>
    <comment ref="AB54" authorId="0">
      <text>
        <t xml:space="preserve">======
ID#AAAAZL1kwzw
    (2022-05-11 18:29:41)
النقطة من 20</t>
      </text>
    </comment>
    <comment ref="AB55" authorId="0">
      <text>
        <t xml:space="preserve">======
ID#AAAAZL1kxEg
    (2022-05-11 18:29:41)
النقطة من 20</t>
      </text>
    </comment>
    <comment ref="P30" authorId="0">
      <text>
        <t xml:space="preserve">======
ID#AAAAZL1kxHw
    (2022-05-11 18:29:41)
النقطة من 20</t>
      </text>
    </comment>
    <comment ref="Q51" authorId="0">
      <text>
        <t xml:space="preserve">======
ID#AAAAZL1kwvI
    (2022-05-11 18:29:41)
النقطة من 20</t>
      </text>
    </comment>
    <comment ref="Q50" authorId="0">
      <text>
        <t xml:space="preserve">======
ID#AAAAZL1kxAg
    (2022-05-11 18:29:41)
النقطة من 20</t>
      </text>
    </comment>
    <comment ref="P32" authorId="0">
      <text>
        <t xml:space="preserve">======
ID#AAAAZL1kxEM
    (2022-05-11 18:29:41)
النقطة من 20</t>
      </text>
    </comment>
    <comment ref="Q53" authorId="0">
      <text>
        <t xml:space="preserve">======
ID#AAAAZL1kw8I
    (2022-05-11 18:29:41)
النقطة من 20</t>
      </text>
    </comment>
    <comment ref="P31" authorId="0">
      <text>
        <t xml:space="preserve">======
ID#AAAAZL1kwxw
    (2022-05-11 18:29:41)
النقطة من 20</t>
      </text>
    </comment>
    <comment ref="Q52" authorId="0">
      <text>
        <t xml:space="preserve">======
ID#AAAAZL1kw40
    (2022-05-11 18:29:41)
النقطة من 20</t>
      </text>
    </comment>
    <comment ref="P34" authorId="0">
      <text>
        <t xml:space="preserve">======
ID#AAAAZL1kxOE
    (2022-05-11 18:29:41)
النقطة من 20</t>
      </text>
    </comment>
    <comment ref="Q55" authorId="0">
      <text>
        <t xml:space="preserve">======
ID#AAAAZL1kxCc
    (2022-05-11 18:29:41)
النقطة من 20</t>
      </text>
    </comment>
    <comment ref="P33" authorId="0">
      <text>
        <t xml:space="preserve">======
ID#AAAAZL1kxPo
    (2022-05-11 18:29:41)
النقطة من 20</t>
      </text>
    </comment>
    <comment ref="Q54" authorId="0">
      <text>
        <t xml:space="preserve">======
ID#AAAAZL1kwz8
    (2022-05-11 18:29:41)
النقطة من 20</t>
      </text>
    </comment>
    <comment ref="P36" authorId="0">
      <text>
        <t xml:space="preserve">======
ID#AAAAZL1kwvw
    (2022-05-11 18:29:41)
النقطة من 20</t>
      </text>
    </comment>
    <comment ref="Q57" authorId="0">
      <text>
        <t xml:space="preserve">======
ID#AAAAZL1kw2s
    (2022-05-11 18:29:41)
النقطة من 20</t>
      </text>
    </comment>
    <comment ref="P35" authorId="0">
      <text>
        <t xml:space="preserve">======
ID#AAAAZL1kxAk
    (2022-05-11 18:29:41)
النقطة من 20</t>
      </text>
    </comment>
    <comment ref="Q56" authorId="0">
      <text>
        <t xml:space="preserve">======
ID#AAAAZL1kw1c
    (2022-05-11 18:29:41)
النقطة من 20</t>
      </text>
    </comment>
    <comment ref="P38" authorId="0">
      <text>
        <t xml:space="preserve">======
ID#AAAAZL1kwrs
    (2022-05-11 18:29:41)
النقطة من 20</t>
      </text>
    </comment>
    <comment ref="P37" authorId="0">
      <text>
        <t xml:space="preserve">======
ID#AAAAZL1kxB8
    (2022-05-11 18:29:41)
النقطة من 20</t>
      </text>
    </comment>
    <comment ref="P39" authorId="0">
      <text>
        <t xml:space="preserve">======
ID#AAAAZL1kw8w
    (2022-05-11 18:29:41)
النقطة من 20</t>
      </text>
    </comment>
    <comment ref="P41" authorId="0">
      <text>
        <t xml:space="preserve">======
ID#AAAAZL1kwvU
    (2022-05-11 18:29:41)
النقطة من 20</t>
      </text>
    </comment>
    <comment ref="P40" authorId="0">
      <text>
        <t xml:space="preserve">======
ID#AAAAZL1kw-E
    (2022-05-11 18:29:41)
النقطة من 20</t>
      </text>
    </comment>
    <comment ref="P43" authorId="0">
      <text>
        <t xml:space="preserve">======
ID#AAAAZL1kw-w
    (2022-05-11 18:29:41)
النقطة من 20</t>
      </text>
    </comment>
    <comment ref="P42" authorId="0">
      <text>
        <t xml:space="preserve">======
ID#AAAAZL1kwto
    (2022-05-11 18:29:41)
النقطة من 20</t>
      </text>
    </comment>
    <comment ref="P45" authorId="0">
      <text>
        <t xml:space="preserve">======
ID#AAAAZL1kxEs
    (2022-05-11 18:29:41)
النقطة من 20</t>
      </text>
    </comment>
    <comment ref="P44" authorId="0">
      <text>
        <t xml:space="preserve">======
ID#AAAAZL1kw0M
    (2022-05-11 18:29:41)
النقطة من 20</t>
      </text>
    </comment>
    <comment ref="P47" authorId="0">
      <text>
        <t xml:space="preserve">======
ID#AAAAZL1kw5A
    (2022-05-11 18:29:41)
النقطة من 20</t>
      </text>
    </comment>
    <comment ref="P46" authorId="0">
      <text>
        <t xml:space="preserve">======
ID#AAAAZL1kw1s
    (2022-05-11 18:29:41)
النقطة من 20</t>
      </text>
    </comment>
    <comment ref="P49" authorId="0">
      <text>
        <t xml:space="preserve">======
ID#AAAAZL1kw10
    (2022-05-11 18:29:41)
النقطة من 20</t>
      </text>
    </comment>
    <comment ref="P48" authorId="0">
      <text>
        <t xml:space="preserve">======
ID#AAAAZL1kw34
    (2022-05-11 18:29:41)
النقطة من 20</t>
      </text>
    </comment>
    <comment ref="P50" authorId="0">
      <text>
        <t xml:space="preserve">======
ID#AAAAZL1kw0w
    (2022-05-11 18:29:41)
النقطة من 20</t>
      </text>
    </comment>
    <comment ref="P52" authorId="0">
      <text>
        <t xml:space="preserve">======
ID#AAAAZL1kw20
    (2022-05-11 18:29:41)
النقطة من 20</t>
      </text>
    </comment>
    <comment ref="P51" authorId="0">
      <text>
        <t xml:space="preserve">======
ID#AAAAZL1kxDU
    (2022-05-11 18:29:41)
النقطة من 20</t>
      </text>
    </comment>
    <comment ref="P54" authorId="0">
      <text>
        <t xml:space="preserve">======
ID#AAAAZL1kw7A
    (2022-05-11 18:29:41)
النقطة من 20</t>
      </text>
    </comment>
    <comment ref="P53" authorId="0">
      <text>
        <t xml:space="preserve">======
ID#AAAAZL1kw3s
    (2022-05-11 18:29:41)
النقطة من 20</t>
      </text>
    </comment>
    <comment ref="P56" authorId="0">
      <text>
        <t xml:space="preserve">======
ID#AAAAZL1kxF0
    (2022-05-11 18:29:41)
النقطة من 20</t>
      </text>
    </comment>
    <comment ref="P55" authorId="0">
      <text>
        <t xml:space="preserve">======
ID#AAAAZL1kw7s
    (2022-05-11 18:29:41)
النقطة من 20</t>
      </text>
    </comment>
    <comment ref="P57" authorId="0">
      <text>
        <t xml:space="preserve">======
ID#AAAAZL1kwwQ
    (2022-05-11 18:29:41)
النقطة من 20</t>
      </text>
    </comment>
  </commentList>
  <extLst>
    <ext uri="GoogleSheetsCustomDataVersion1">
      <go:sheetsCustomData xmlns:go="http://customooxmlschemas.google.com/" roundtripDataSignature="AMtx7mjcZ+bo0Itn4oHsTIU1onQFJo3M2A==" r:id="rId1"/>
    </ext>
  </extLst>
</comments>
</file>

<file path=xl/comments2.xml><?xml version="1.0" encoding="utf-8"?>
<comments xmlns="http://schemas.openxmlformats.org/spreadsheetml/2006/main" xmlns:r="http://schemas.openxmlformats.org/officeDocument/2006/relationships">
  <authors>
    <author/>
  </authors>
  <commentList/>
  <extLst>
    <ext uri="GoogleSheetsCustomDataVersion1">
      <go:sheetsCustomData xmlns:go="http://customooxmlschemas.google.com/" roundtripDataSignature="AMtx7mjLJVa+L+aW7WBTvC/LZ43TEwiPJA==" r:id="rId1"/>
    </ext>
  </extLst>
</comments>
</file>

<file path=xl/comments3.xml><?xml version="1.0" encoding="utf-8"?>
<comments xmlns="http://schemas.openxmlformats.org/spreadsheetml/2006/main" xmlns:r="http://schemas.openxmlformats.org/officeDocument/2006/relationships">
  <authors>
    <author/>
  </authors>
  <commentList/>
  <extLst>
    <ext uri="GoogleSheetsCustomDataVersion1">
      <go:sheetsCustomData xmlns:go="http://customooxmlschemas.google.com/" roundtripDataSignature="AMtx7mjLJVa+L+aW7WBTvC/LZ43TEwiPJA==" r:id="rId1"/>
    </ext>
  </extLst>
</comments>
</file>

<file path=xl/sharedStrings.xml><?xml version="1.0" encoding="utf-8"?>
<sst xmlns="http://schemas.openxmlformats.org/spreadsheetml/2006/main" count="131" uniqueCount="59">
  <si>
    <t>نتائــــج التلاميـــــذ</t>
  </si>
  <si>
    <t>الأستاذ(ة) :</t>
  </si>
  <si>
    <t>متوسطة :</t>
  </si>
  <si>
    <t>محمد بوضياف</t>
  </si>
  <si>
    <t>الاستاذ :</t>
  </si>
  <si>
    <t>المـــــــــادة :</t>
  </si>
  <si>
    <t>العلوم الفيزيائية و التكنولوجية</t>
  </si>
  <si>
    <t>عـدد الذكور :</t>
  </si>
  <si>
    <t>المعـــامـل :</t>
  </si>
  <si>
    <t>القســــــــم  :</t>
  </si>
  <si>
    <t>4م1</t>
  </si>
  <si>
    <t>عـدد الإناث :</t>
  </si>
  <si>
    <t>السنة الدراسية:</t>
  </si>
  <si>
    <t>عــــدد التلاميـذ  :</t>
  </si>
  <si>
    <t>الفصـــــــل الأول</t>
  </si>
  <si>
    <t xml:space="preserve">الفصــــــــــــل الثاني        </t>
  </si>
  <si>
    <t>الفصـــــــل الثالـث</t>
  </si>
  <si>
    <t>الرقم</t>
  </si>
  <si>
    <t>اللقــب و الاسم</t>
  </si>
  <si>
    <t>تاريج الميلاد</t>
  </si>
  <si>
    <t>م.المستمرة</t>
  </si>
  <si>
    <t>الفرض1</t>
  </si>
  <si>
    <t>الفرض2</t>
  </si>
  <si>
    <t>معدل المراقبة</t>
  </si>
  <si>
    <t>الإختبار</t>
  </si>
  <si>
    <t>المعدل</t>
  </si>
  <si>
    <r>
      <t>المعدل</t>
    </r>
    <r>
      <rPr>
        <sz val="9"/>
        <rFont val="Arial"/>
      </rPr>
      <t xml:space="preserve"> x </t>
    </r>
    <r>
      <rPr>
        <sz val="10"/>
        <color rgb="FF000000"/>
        <rFont val="Arial"/>
        <family val="2"/>
      </rPr>
      <t>المعامل</t>
    </r>
  </si>
  <si>
    <t>الملاحظة</t>
  </si>
  <si>
    <t>المعدل المراقبة</t>
  </si>
  <si>
    <t>المعدل السنوي</t>
  </si>
  <si>
    <t>الملاحظة السنوية</t>
  </si>
  <si>
    <t>اكبر من 10:</t>
  </si>
  <si>
    <t>النسبة:</t>
  </si>
  <si>
    <t>أحسن معدل:</t>
  </si>
  <si>
    <t>معدل القسم:</t>
  </si>
  <si>
    <t>احسن معدل:</t>
  </si>
  <si>
    <t>اصغر من 10:</t>
  </si>
  <si>
    <t>أسوء معدل:</t>
  </si>
  <si>
    <t xml:space="preserve">       الـنتـائج  السنويـة  لـقـســم:</t>
  </si>
  <si>
    <t>احسن معدل سنوي:</t>
  </si>
  <si>
    <t>المعدل السنوي للقسم:</t>
  </si>
  <si>
    <t>أسوء معدل سنوي:</t>
  </si>
  <si>
    <t>من 00.00 الى 05.00</t>
  </si>
  <si>
    <t>من 05.01 الى 08.00</t>
  </si>
  <si>
    <t>من 08.01 الى 09.99</t>
  </si>
  <si>
    <t>من 10.00 الى 11.99</t>
  </si>
  <si>
    <t>من 12.00 الى 13.99</t>
  </si>
  <si>
    <t>من 14.00 الى 15.99</t>
  </si>
  <si>
    <t>من 16.00 الى 17.99</t>
  </si>
  <si>
    <t>من 18.00 الى 20.00</t>
  </si>
  <si>
    <t>المجموع</t>
  </si>
  <si>
    <t>هذا العمل عبارة عن برنامج يسهل حساب نتائج التلاميذ</t>
  </si>
  <si>
    <t>31_med@live.fr</t>
  </si>
  <si>
    <t>ملاحظة : المعلومات الخاصة بالأستاذ(ة) , قسم , المؤسسة يمكن ملؤها في الفصل الأول فقط !</t>
  </si>
  <si>
    <t>2015/2016</t>
  </si>
  <si>
    <r>
      <t>المعدل</t>
    </r>
    <r>
      <rPr>
        <b/>
        <sz val="9"/>
        <rFont val="Arial"/>
        <family val="2"/>
      </rPr>
      <t xml:space="preserve"> x </t>
    </r>
    <r>
      <rPr>
        <b/>
        <sz val="10"/>
        <color rgb="FF000000"/>
        <rFont val="Arial"/>
        <family val="2"/>
      </rPr>
      <t>المعامل</t>
    </r>
  </si>
  <si>
    <t>أستاذ الفيزياء</t>
  </si>
  <si>
    <t>مديرية التربية لولاية وهران</t>
  </si>
  <si>
    <r>
      <t xml:space="preserve">اعداد الأستاذ: </t>
    </r>
    <r>
      <rPr>
        <sz val="12"/>
        <color rgb="FF0070C0"/>
        <rFont val="ae_Ostorah"/>
        <family val="1"/>
      </rPr>
      <t>صوان محمد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</si>
</sst>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44"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B0F0"/>
      <name val="Calibri"/>
      <family val="2"/>
    </font>
    <font>
      <b/>
      <sz val="11"/>
      <color rgb="FFC0504D"/>
      <name val="Calibri"/>
      <family val="2"/>
    </font>
    <font>
      <sz val="11"/>
      <color rgb="FF9BBB59"/>
      <name val="Calibri"/>
      <family val="2"/>
    </font>
    <font>
      <sz val="14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B050"/>
      <name val="Calibri"/>
      <family val="2"/>
    </font>
    <font>
      <sz val="11"/>
      <color rgb="FF4BACC6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ae_AlBattar"/>
      <family val="1"/>
    </font>
    <font>
      <sz val="11"/>
      <color rgb="FF4F81BD"/>
      <name val="Calibri"/>
      <family val="2"/>
    </font>
    <font>
      <u/>
      <sz val="11"/>
      <color rgb="FF3333FF"/>
      <name val="Calibri"/>
      <family val="2"/>
    </font>
    <font>
      <b/>
      <i/>
      <sz val="14"/>
      <color rgb="FF000000"/>
      <name val="Calibri"/>
      <family val="2"/>
    </font>
    <font>
      <sz val="11"/>
      <color rgb="FFFF99FF"/>
      <name val="Calibri"/>
      <family val="2"/>
    </font>
    <font>
      <b/>
      <sz val="12"/>
      <color rgb="FFFF0000"/>
      <name val="ae_Rasheeq"/>
      <family val="1"/>
    </font>
    <font>
      <i/>
      <sz val="11"/>
      <color rgb="FF000000"/>
      <name val="ae_AlHor"/>
      <family val="1"/>
    </font>
    <font>
      <sz val="12"/>
      <color rgb="FF000000"/>
      <name val="ae_AlHor"/>
      <family val="1"/>
    </font>
    <font>
      <u/>
      <sz val="11"/>
      <color rgb="FF9BBB59"/>
      <name val="Calibri"/>
      <family val="2"/>
    </font>
    <font>
      <sz val="11"/>
      <color rgb="FF8064A2"/>
      <name val="Calibri"/>
      <family val="2"/>
    </font>
    <font>
      <sz val="11"/>
      <color rgb="FF000000"/>
      <name val="Calligraphic"/>
    </font>
    <font>
      <sz val="11"/>
      <color rgb="FF9BBB59"/>
      <name val="Calligraphic"/>
    </font>
    <font>
      <sz val="11"/>
      <color rgb="FFFF0000"/>
      <name val="Calligraphic"/>
    </font>
    <font>
      <sz val="11"/>
      <color rgb="FF00B050"/>
      <name val="Calligraphic"/>
    </font>
    <font>
      <sz val="11"/>
      <color rgb="FF00B0F0"/>
      <name val="Calligraphic"/>
    </font>
    <font>
      <sz val="11"/>
      <color rgb="FFC0504D"/>
      <name val="Calligraphic"/>
    </font>
    <font>
      <sz val="11"/>
      <color rgb="FF7030A0"/>
      <name val="Calligraphic"/>
    </font>
    <font>
      <i/>
      <sz val="11"/>
      <color rgb="FF7030A0"/>
      <name val="Calligraphic"/>
    </font>
    <font>
      <sz val="11"/>
      <color rgb="FFF79646"/>
      <name val="Calligraphic"/>
    </font>
    <font>
      <u/>
      <sz val="11"/>
      <color rgb="FF0000FF"/>
      <name val="Calibri"/>
      <family val="2"/>
    </font>
    <font>
      <sz val="9"/>
      <name val="Arial"/>
    </font>
    <font>
      <sz val="9"/>
      <name val="AdvertisingBold"/>
      <charset val="178"/>
    </font>
    <font>
      <b/>
      <sz val="9"/>
      <name val="Tahoma"/>
      <family val="2"/>
    </font>
    <font>
      <sz val="11"/>
      <color rgb="FFFF33CC"/>
      <name val="Calligraphic"/>
    </font>
    <font>
      <sz val="10"/>
      <color indexed="81"/>
      <name val="AdvertisingBold"/>
      <charset val="178"/>
    </font>
    <font>
      <sz val="11"/>
      <color theme="0"/>
      <name val="ae_AlBattar"/>
      <family val="1"/>
    </font>
    <font>
      <b/>
      <sz val="9"/>
      <name val="Arial"/>
      <family val="2"/>
    </font>
    <font>
      <b/>
      <sz val="10"/>
      <color rgb="FF000000"/>
      <name val="Arial"/>
      <family val="2"/>
    </font>
    <font>
      <sz val="14"/>
      <color rgb="FF000000"/>
      <name val="ae_AlBattar"/>
      <family val="1"/>
    </font>
    <font>
      <sz val="13"/>
      <color rgb="FF000000"/>
      <name val="ae_AlBattar"/>
      <family val="1"/>
    </font>
    <font>
      <sz val="12"/>
      <color rgb="FF000000"/>
      <name val="ae_Ostorah"/>
      <family val="1"/>
    </font>
    <font>
      <sz val="12"/>
      <color rgb="FF0070C0"/>
      <name val="ae_Ostorah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dashDotDot">
        <color rgb="FF4F81BD"/>
      </left>
      <right style="dashDotDot">
        <color rgb="FF4F81BD"/>
      </right>
      <top style="medium">
        <color rgb="FF000000"/>
      </top>
      <bottom style="dashDotDot">
        <color rgb="FF4F81BD"/>
      </bottom>
      <diagonal/>
    </border>
    <border>
      <left style="dashDotDot">
        <color rgb="FF4F81BD"/>
      </left>
      <right style="dashDotDot">
        <color rgb="FF4F81BD"/>
      </right>
      <top style="dashDotDot">
        <color rgb="FF4F81BD"/>
      </top>
      <bottom style="dashDotDot">
        <color rgb="FF4F81BD"/>
      </bottom>
      <diagonal/>
    </border>
    <border>
      <left style="dashDotDot">
        <color rgb="FF4F81BD"/>
      </left>
      <right style="dashDotDot">
        <color rgb="FF4F81BD"/>
      </right>
      <top style="dashDotDot">
        <color rgb="FF4F81BD"/>
      </top>
      <bottom style="medium">
        <color rgb="FF000000"/>
      </bottom>
      <diagonal/>
    </border>
    <border>
      <left style="dashDotDot">
        <color rgb="FF4F81BD"/>
      </left>
      <right style="medium">
        <color rgb="FF000000"/>
      </right>
      <top style="medium">
        <color rgb="FF000000"/>
      </top>
      <bottom style="dashDotDot">
        <color rgb="FF4F81BD"/>
      </bottom>
      <diagonal/>
    </border>
    <border>
      <left style="dashDotDot">
        <color rgb="FF4F81BD"/>
      </left>
      <right style="medium">
        <color rgb="FF000000"/>
      </right>
      <top style="dashDotDot">
        <color rgb="FF4F81BD"/>
      </top>
      <bottom style="dashDotDot">
        <color rgb="FF4F81BD"/>
      </bottom>
      <diagonal/>
    </border>
    <border>
      <left style="dashDotDot">
        <color rgb="FF4F81BD"/>
      </left>
      <right style="medium">
        <color rgb="FF000000"/>
      </right>
      <top style="dashDotDot">
        <color rgb="FF4F81BD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ashDot">
        <color rgb="FF92D050"/>
      </left>
      <right style="dashDot">
        <color rgb="FF92D050"/>
      </right>
      <top style="dashDot">
        <color rgb="FF92D050"/>
      </top>
      <bottom style="dashDot">
        <color rgb="FF92D05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dashDotDot">
        <color rgb="FF4F81BD"/>
      </left>
      <right style="dashDotDot">
        <color rgb="FF4F81BD"/>
      </right>
      <top style="dashDotDot">
        <color rgb="FF4F81BD"/>
      </top>
      <bottom style="dashDotDot">
        <color rgb="FF4F81BD"/>
      </bottom>
      <diagonal/>
    </border>
    <border>
      <left/>
      <right style="dashDotDot">
        <color rgb="FF4F81BD"/>
      </right>
      <top style="dashDotDot">
        <color rgb="FF4F81BD"/>
      </top>
      <bottom style="dashDotDot">
        <color rgb="FF4F81BD"/>
      </bottom>
      <diagonal/>
    </border>
    <border>
      <left/>
      <right style="dashDotDot">
        <color rgb="FF4F81BD"/>
      </right>
      <top style="dashDotDot">
        <color rgb="FF4F81BD"/>
      </top>
      <bottom style="medium">
        <color rgb="FF000000"/>
      </bottom>
      <diagonal/>
    </border>
    <border>
      <left style="dashDotDot">
        <color rgb="FF4F81BD"/>
      </left>
      <right style="dashDotDot">
        <color rgb="FF4F81BD"/>
      </right>
      <top style="medium">
        <color rgb="FF000000"/>
      </top>
      <bottom/>
      <diagonal/>
    </border>
    <border>
      <left style="dashDotDot">
        <color rgb="FF4F81BD"/>
      </left>
      <right style="dashDotDot">
        <color rgb="FF4F81BD"/>
      </right>
      <top/>
      <bottom style="dashDotDot">
        <color rgb="FF4F81BD"/>
      </bottom>
      <diagonal/>
    </border>
    <border>
      <left style="medium">
        <color rgb="FF000000"/>
      </left>
      <right style="dashDotDot">
        <color rgb="FF4F81BD"/>
      </right>
      <top style="dashDotDot">
        <color rgb="FF4F81BD"/>
      </top>
      <bottom style="dashDotDot">
        <color rgb="FF4F81BD"/>
      </bottom>
      <diagonal/>
    </border>
    <border>
      <left style="medium">
        <color rgb="FF000000"/>
      </left>
      <right style="dashDotDot">
        <color rgb="FF4F81BD"/>
      </right>
      <top style="dashDotDot">
        <color rgb="FF4F81BD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1" fillId="0" borderId="0">
      <alignment vertical="top"/>
    </xf>
  </cellStyleXfs>
  <cellXfs count="126"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2" fontId="9" fillId="0" borderId="0" xfId="0" applyNumberFormat="1" applyFont="1"/>
    <xf numFmtId="2" fontId="2" fillId="0" borderId="0" xfId="0" applyNumberFormat="1" applyFont="1"/>
    <xf numFmtId="0" fontId="12" fillId="0" borderId="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2" fontId="1" fillId="0" borderId="0" xfId="0" applyNumberFormat="1" applyFont="1"/>
    <xf numFmtId="0" fontId="11" fillId="0" borderId="0" xfId="1" applyAlignment="1" applyProtection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 applyProtection="1">
      <alignment vertical="center"/>
      <protection locked="0"/>
    </xf>
    <xf numFmtId="2" fontId="2" fillId="0" borderId="0" xfId="0" applyNumberFormat="1" applyFont="1" applyAlignment="1">
      <alignment horizontal="right" vertical="center"/>
    </xf>
    <xf numFmtId="2" fontId="13" fillId="0" borderId="0" xfId="0" applyNumberFormat="1" applyFont="1"/>
    <xf numFmtId="0" fontId="1" fillId="0" borderId="0" xfId="0" applyFont="1" applyAlignment="1">
      <alignment horizontal="left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1" fillId="0" borderId="0" xfId="1" applyAlignment="1" applyProtection="1"/>
    <xf numFmtId="0" fontId="14" fillId="0" borderId="0" xfId="0" applyFont="1" applyAlignment="1" applyProtection="1">
      <alignment horizontal="center" vertical="center" readingOrder="2"/>
      <protection locked="0"/>
    </xf>
    <xf numFmtId="0" fontId="15" fillId="0" borderId="0" xfId="0" applyFont="1"/>
    <xf numFmtId="0" fontId="14" fillId="0" borderId="0" xfId="0" applyFont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2" fillId="2" borderId="9" xfId="0" applyFont="1" applyFill="1" applyBorder="1" applyAlignment="1" applyProtection="1">
      <alignment horizontal="center" vertical="center"/>
      <protection locked="0"/>
    </xf>
    <xf numFmtId="0" fontId="12" fillId="0" borderId="1" xfId="0" applyFont="1" applyFill="1" applyBorder="1" applyAlignment="1" applyProtection="1">
      <alignment horizontal="center" vertical="center"/>
      <protection locked="0"/>
    </xf>
    <xf numFmtId="2" fontId="1" fillId="0" borderId="0" xfId="0" applyNumberFormat="1" applyFont="1" applyAlignment="1">
      <alignment horizontal="center"/>
    </xf>
    <xf numFmtId="0" fontId="17" fillId="3" borderId="10" xfId="0" applyFont="1" applyFill="1" applyBorder="1" applyAlignment="1">
      <alignment horizontal="center" vertical="center"/>
    </xf>
    <xf numFmtId="0" fontId="14" fillId="0" borderId="0" xfId="0" applyFont="1" applyAlignment="1" applyProtection="1">
      <alignment horizontal="right" vertical="center"/>
      <protection locked="0"/>
    </xf>
    <xf numFmtId="0" fontId="11" fillId="0" borderId="0" xfId="1" applyAlignment="1" applyProtection="1">
      <alignment horizontal="right" vertical="center"/>
    </xf>
    <xf numFmtId="164" fontId="0" fillId="2" borderId="9" xfId="0" applyNumberFormat="1" applyFont="1" applyFill="1" applyBorder="1" applyAlignment="1" applyProtection="1">
      <alignment horizontal="center" vertical="center" wrapText="1"/>
      <protection locked="0"/>
    </xf>
    <xf numFmtId="164" fontId="0" fillId="4" borderId="11" xfId="0" applyNumberFormat="1" applyFont="1" applyFill="1" applyBorder="1" applyAlignment="1" applyProtection="1">
      <alignment horizontal="center" vertical="center" wrapText="1"/>
      <protection locked="0"/>
    </xf>
    <xf numFmtId="164" fontId="0" fillId="5" borderId="12" xfId="0" applyNumberFormat="1" applyFont="1" applyFill="1" applyBorder="1" applyAlignment="1" applyProtection="1">
      <alignment horizontal="center" vertical="center" wrapText="1"/>
      <protection locked="0"/>
    </xf>
    <xf numFmtId="0" fontId="18" fillId="4" borderId="11" xfId="0" applyFont="1" applyFill="1" applyBorder="1" applyAlignment="1" applyProtection="1">
      <alignment horizontal="center" wrapText="1" readingOrder="2"/>
      <protection locked="0"/>
    </xf>
    <xf numFmtId="164" fontId="0" fillId="4" borderId="11" xfId="0" applyNumberFormat="1" applyFont="1" applyFill="1" applyBorder="1" applyAlignment="1" applyProtection="1">
      <alignment horizontal="center" wrapText="1"/>
      <protection locked="0"/>
    </xf>
    <xf numFmtId="0" fontId="0" fillId="4" borderId="11" xfId="0" applyFont="1" applyFill="1" applyBorder="1" applyAlignment="1" applyProtection="1">
      <alignment horizontal="center" wrapText="1"/>
      <protection locked="0"/>
    </xf>
    <xf numFmtId="0" fontId="22" fillId="0" borderId="3" xfId="0" applyFont="1" applyFill="1" applyBorder="1" applyAlignment="1" applyProtection="1">
      <alignment horizontal="center" vertical="center"/>
      <protection locked="0"/>
    </xf>
    <xf numFmtId="0" fontId="22" fillId="0" borderId="4" xfId="0" applyFont="1" applyFill="1" applyBorder="1" applyAlignment="1" applyProtection="1">
      <alignment horizontal="center" vertical="center"/>
      <protection locked="0"/>
    </xf>
    <xf numFmtId="2" fontId="24" fillId="0" borderId="4" xfId="0" applyNumberFormat="1" applyFont="1" applyFill="1" applyBorder="1" applyAlignment="1">
      <alignment horizontal="center" vertical="center"/>
    </xf>
    <xf numFmtId="0" fontId="26" fillId="0" borderId="4" xfId="0" applyFont="1" applyFill="1" applyBorder="1" applyAlignment="1" applyProtection="1">
      <alignment horizontal="center" vertical="center"/>
      <protection locked="0"/>
    </xf>
    <xf numFmtId="0" fontId="27" fillId="0" borderId="4" xfId="0" applyFont="1" applyFill="1" applyBorder="1" applyAlignment="1" applyProtection="1">
      <alignment horizontal="center" vertical="center"/>
      <protection locked="0"/>
    </xf>
    <xf numFmtId="0" fontId="28" fillId="0" borderId="4" xfId="0" applyFont="1" applyFill="1" applyBorder="1" applyAlignment="1" applyProtection="1">
      <alignment horizontal="center" vertical="center"/>
      <protection locked="0"/>
    </xf>
    <xf numFmtId="0" fontId="28" fillId="6" borderId="13" xfId="0" applyFont="1" applyFill="1" applyBorder="1" applyAlignment="1" applyProtection="1">
      <alignment horizontal="center" vertical="center"/>
      <protection locked="0"/>
    </xf>
    <xf numFmtId="0" fontId="26" fillId="0" borderId="14" xfId="0" applyFont="1" applyFill="1" applyBorder="1" applyAlignment="1" applyProtection="1">
      <alignment horizontal="center" vertical="center"/>
      <protection locked="0"/>
    </xf>
    <xf numFmtId="0" fontId="26" fillId="0" borderId="15" xfId="0" applyFont="1" applyFill="1" applyBorder="1" applyAlignment="1" applyProtection="1">
      <alignment horizontal="center" vertical="center"/>
      <protection locked="0"/>
    </xf>
    <xf numFmtId="0" fontId="27" fillId="0" borderId="5" xfId="0" applyFont="1" applyFill="1" applyBorder="1" applyAlignment="1" applyProtection="1">
      <alignment horizontal="center" vertical="center"/>
      <protection locked="0"/>
    </xf>
    <xf numFmtId="0" fontId="22" fillId="0" borderId="5" xfId="0" applyFont="1" applyFill="1" applyBorder="1" applyAlignment="1" applyProtection="1">
      <alignment horizontal="center" vertical="center"/>
      <protection locked="0"/>
    </xf>
    <xf numFmtId="0" fontId="28" fillId="0" borderId="5" xfId="0" applyFont="1" applyFill="1" applyBorder="1" applyAlignment="1" applyProtection="1">
      <alignment horizontal="center" vertical="center"/>
      <protection locked="0"/>
    </xf>
    <xf numFmtId="2" fontId="25" fillId="0" borderId="5" xfId="0" applyNumberFormat="1" applyFont="1" applyFill="1" applyBorder="1" applyAlignment="1">
      <alignment horizontal="center" vertical="center"/>
    </xf>
    <xf numFmtId="0" fontId="26" fillId="0" borderId="3" xfId="0" applyFont="1" applyFill="1" applyBorder="1" applyAlignment="1" applyProtection="1">
      <alignment horizontal="center" vertical="center" wrapText="1" readingOrder="2"/>
      <protection locked="0"/>
    </xf>
    <xf numFmtId="0" fontId="27" fillId="0" borderId="3" xfId="0" applyFont="1" applyFill="1" applyBorder="1" applyAlignment="1" applyProtection="1">
      <alignment horizontal="center" vertical="center" wrapText="1" readingOrder="2"/>
      <protection locked="0"/>
    </xf>
    <xf numFmtId="0" fontId="28" fillId="0" borderId="16" xfId="0" applyFont="1" applyFill="1" applyBorder="1" applyAlignment="1" applyProtection="1">
      <alignment horizontal="center" vertical="center" wrapText="1" readingOrder="2"/>
      <protection locked="0"/>
    </xf>
    <xf numFmtId="0" fontId="26" fillId="0" borderId="4" xfId="0" applyFont="1" applyFill="1" applyBorder="1" applyAlignment="1" applyProtection="1">
      <alignment horizontal="center" vertical="center" wrapText="1" readingOrder="2"/>
      <protection locked="0"/>
    </xf>
    <xf numFmtId="0" fontId="27" fillId="0" borderId="4" xfId="0" applyFont="1" applyFill="1" applyBorder="1" applyAlignment="1" applyProtection="1">
      <alignment horizontal="center" vertical="center" wrapText="1" readingOrder="2"/>
      <protection locked="0"/>
    </xf>
    <xf numFmtId="0" fontId="28" fillId="0" borderId="4" xfId="0" applyFont="1" applyFill="1" applyBorder="1" applyAlignment="1" applyProtection="1">
      <alignment horizontal="center" vertical="center" wrapText="1" readingOrder="2"/>
      <protection locked="0"/>
    </xf>
    <xf numFmtId="0" fontId="28" fillId="0" borderId="17" xfId="0" applyFont="1" applyFill="1" applyBorder="1" applyAlignment="1" applyProtection="1">
      <alignment horizontal="center" vertical="center" wrapText="1" readingOrder="2"/>
      <protection locked="0"/>
    </xf>
    <xf numFmtId="0" fontId="23" fillId="0" borderId="3" xfId="0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center" vertical="center"/>
    </xf>
    <xf numFmtId="0" fontId="23" fillId="0" borderId="4" xfId="0" applyFont="1" applyFill="1" applyBorder="1" applyAlignment="1">
      <alignment horizontal="center" vertical="center"/>
    </xf>
    <xf numFmtId="0" fontId="29" fillId="0" borderId="4" xfId="0" applyFont="1" applyFill="1" applyBorder="1" applyAlignment="1" applyProtection="1">
      <alignment horizontal="center" vertical="center" wrapText="1" readingOrder="2"/>
      <protection locked="0"/>
    </xf>
    <xf numFmtId="0" fontId="25" fillId="0" borderId="4" xfId="0" applyFont="1" applyFill="1" applyBorder="1" applyAlignment="1">
      <alignment horizontal="center" vertical="center"/>
    </xf>
    <xf numFmtId="0" fontId="26" fillId="0" borderId="18" xfId="0" applyFont="1" applyFill="1" applyBorder="1" applyAlignment="1" applyProtection="1">
      <alignment horizontal="center" vertical="center"/>
      <protection locked="0"/>
    </xf>
    <xf numFmtId="0" fontId="26" fillId="0" borderId="19" xfId="0" applyFont="1" applyFill="1" applyBorder="1" applyAlignment="1" applyProtection="1">
      <alignment horizontal="center" vertical="center"/>
      <protection locked="0"/>
    </xf>
    <xf numFmtId="0" fontId="23" fillId="0" borderId="5" xfId="0" applyFont="1" applyFill="1" applyBorder="1" applyAlignment="1">
      <alignment horizontal="center" vertical="center"/>
    </xf>
    <xf numFmtId="0" fontId="29" fillId="0" borderId="5" xfId="0" applyFont="1" applyFill="1" applyBorder="1" applyAlignment="1" applyProtection="1">
      <alignment horizontal="center" vertical="center" wrapText="1" readingOrder="2"/>
      <protection locked="0"/>
    </xf>
    <xf numFmtId="0" fontId="25" fillId="0" borderId="5" xfId="0" applyFont="1" applyFill="1" applyBorder="1" applyAlignment="1">
      <alignment horizontal="center" vertical="center"/>
    </xf>
    <xf numFmtId="2" fontId="30" fillId="0" borderId="3" xfId="0" applyNumberFormat="1" applyFont="1" applyFill="1" applyBorder="1" applyAlignment="1">
      <alignment horizontal="center" vertical="center"/>
    </xf>
    <xf numFmtId="2" fontId="30" fillId="0" borderId="4" xfId="0" applyNumberFormat="1" applyFont="1" applyFill="1" applyBorder="1" applyAlignment="1">
      <alignment horizontal="center" vertical="center"/>
    </xf>
    <xf numFmtId="2" fontId="30" fillId="0" borderId="5" xfId="0" applyNumberFormat="1" applyFont="1" applyFill="1" applyBorder="1" applyAlignment="1">
      <alignment horizontal="center" vertical="center"/>
    </xf>
    <xf numFmtId="0" fontId="19" fillId="2" borderId="9" xfId="0" applyFont="1" applyFill="1" applyBorder="1" applyAlignment="1" applyProtection="1">
      <alignment horizontal="center" wrapText="1" readingOrder="2"/>
      <protection locked="0"/>
    </xf>
    <xf numFmtId="0" fontId="19" fillId="4" borderId="11" xfId="0" applyFont="1" applyFill="1" applyBorder="1" applyAlignment="1" applyProtection="1">
      <alignment horizontal="center" wrapText="1" readingOrder="2"/>
      <protection locked="0"/>
    </xf>
    <xf numFmtId="0" fontId="19" fillId="5" borderId="12" xfId="0" applyFont="1" applyFill="1" applyBorder="1" applyAlignment="1" applyProtection="1">
      <alignment horizontal="center" wrapText="1" readingOrder="2"/>
      <protection locked="0"/>
    </xf>
    <xf numFmtId="0" fontId="31" fillId="0" borderId="0" xfId="1" applyFont="1" applyAlignment="1" applyProtection="1">
      <alignment horizontal="center" vertical="center"/>
    </xf>
    <xf numFmtId="0" fontId="11" fillId="0" borderId="0" xfId="0" applyFont="1" applyAlignment="1">
      <alignment horizontal="center" vertical="center"/>
    </xf>
    <xf numFmtId="2" fontId="24" fillId="0" borderId="17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 applyProtection="1">
      <alignment horizontal="center" vertical="center"/>
      <protection hidden="1"/>
    </xf>
    <xf numFmtId="0" fontId="17" fillId="3" borderId="10" xfId="0" applyFont="1" applyFill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2" fontId="35" fillId="0" borderId="3" xfId="0" applyNumberFormat="1" applyFont="1" applyFill="1" applyBorder="1" applyAlignment="1" applyProtection="1">
      <alignment horizontal="center" vertical="center"/>
      <protection hidden="1"/>
    </xf>
    <xf numFmtId="2" fontId="35" fillId="0" borderId="4" xfId="0" applyNumberFormat="1" applyFont="1" applyFill="1" applyBorder="1" applyAlignment="1" applyProtection="1">
      <alignment horizontal="center" vertical="center"/>
      <protection hidden="1"/>
    </xf>
    <xf numFmtId="2" fontId="35" fillId="0" borderId="5" xfId="0" applyNumberFormat="1" applyFont="1" applyFill="1" applyBorder="1" applyAlignment="1" applyProtection="1">
      <alignment horizontal="center" vertical="center"/>
      <protection hidden="1"/>
    </xf>
    <xf numFmtId="2" fontId="24" fillId="0" borderId="4" xfId="0" applyNumberFormat="1" applyFont="1" applyFill="1" applyBorder="1" applyAlignment="1" applyProtection="1">
      <alignment horizontal="center" vertical="center"/>
      <protection hidden="1"/>
    </xf>
    <xf numFmtId="2" fontId="25" fillId="0" borderId="3" xfId="0" applyNumberFormat="1" applyFont="1" applyFill="1" applyBorder="1" applyAlignment="1" applyProtection="1">
      <alignment horizontal="center" vertical="center"/>
      <protection hidden="1"/>
    </xf>
    <xf numFmtId="0" fontId="12" fillId="0" borderId="6" xfId="0" applyFont="1" applyFill="1" applyBorder="1" applyAlignment="1" applyProtection="1">
      <alignment horizontal="center" vertical="center"/>
      <protection hidden="1"/>
    </xf>
    <xf numFmtId="2" fontId="25" fillId="0" borderId="4" xfId="0" applyNumberFormat="1" applyFont="1" applyFill="1" applyBorder="1" applyAlignment="1" applyProtection="1">
      <alignment horizontal="center" vertical="center"/>
      <protection hidden="1"/>
    </xf>
    <xf numFmtId="0" fontId="12" fillId="0" borderId="7" xfId="0" applyFont="1" applyFill="1" applyBorder="1" applyAlignment="1" applyProtection="1">
      <alignment horizontal="center" vertical="center"/>
      <protection hidden="1"/>
    </xf>
    <xf numFmtId="2" fontId="25" fillId="0" borderId="5" xfId="0" applyNumberFormat="1" applyFont="1" applyFill="1" applyBorder="1" applyAlignment="1" applyProtection="1">
      <alignment horizontal="center" vertical="center"/>
      <protection hidden="1"/>
    </xf>
    <xf numFmtId="0" fontId="12" fillId="0" borderId="8" xfId="0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10" fontId="9" fillId="0" borderId="0" xfId="0" applyNumberFormat="1" applyFont="1" applyAlignment="1" applyProtection="1">
      <alignment horizontal="center" vertical="center"/>
      <protection hidden="1"/>
    </xf>
    <xf numFmtId="2" fontId="9" fillId="0" borderId="0" xfId="0" applyNumberFormat="1" applyFont="1" applyAlignment="1" applyProtection="1">
      <alignment horizontal="center" vertical="center"/>
      <protection hidden="1"/>
    </xf>
    <xf numFmtId="2" fontId="4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10" fontId="2" fillId="0" borderId="0" xfId="0" applyNumberFormat="1" applyFont="1" applyAlignment="1" applyProtection="1">
      <alignment horizontal="center" vertical="center"/>
      <protection hidden="1"/>
    </xf>
    <xf numFmtId="2" fontId="2" fillId="0" borderId="0" xfId="0" applyNumberFormat="1" applyFont="1" applyAlignment="1" applyProtection="1">
      <alignment horizontal="center" vertical="center"/>
      <protection hidden="1"/>
    </xf>
    <xf numFmtId="2" fontId="2" fillId="0" borderId="0" xfId="0" applyNumberFormat="1" applyFont="1" applyAlignment="1" applyProtection="1">
      <alignment horizontal="right" vertical="center"/>
      <protection hidden="1"/>
    </xf>
    <xf numFmtId="0" fontId="8" fillId="0" borderId="0" xfId="0" applyFont="1" applyAlignment="1">
      <alignment horizontal="center"/>
    </xf>
    <xf numFmtId="0" fontId="14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1" fillId="0" borderId="0" xfId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5" fillId="0" borderId="20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top"/>
    </xf>
    <xf numFmtId="0" fontId="42" fillId="0" borderId="0" xfId="0" applyFont="1" applyAlignment="1">
      <alignment horizontal="center" vertical="center"/>
    </xf>
    <xf numFmtId="0" fontId="31" fillId="0" borderId="0" xfId="1" applyFont="1" applyAlignment="1" applyProtection="1">
      <alignment horizontal="center" vertical="center"/>
    </xf>
  </cellXfs>
  <cellStyles count="2">
    <cellStyle name="Lien hypertexte" xfId="1" builtinId="8"/>
    <cellStyle name="Normal" xfId="0" builtinId="0"/>
  </cellStyles>
  <dxfs count="5">
    <dxf>
      <fill>
        <patternFill>
          <bgColor theme="7" tint="0.79998168889431442"/>
        </patternFill>
      </fill>
      <border>
        <left/>
        <right/>
        <top/>
        <bottom/>
      </border>
    </dxf>
    <dxf>
      <fill>
        <patternFill>
          <bgColor theme="7" tint="0.79998168889431442"/>
        </patternFill>
      </fill>
      <border>
        <left/>
        <right/>
        <top/>
        <bottom/>
      </border>
    </dxf>
    <dxf>
      <fill>
        <patternFill>
          <bgColor theme="7" tint="0.79998168889431442"/>
        </patternFill>
      </fill>
      <border>
        <left/>
        <right/>
        <top/>
        <bottom/>
      </border>
    </dxf>
    <dxf>
      <fill>
        <patternFill>
          <bgColor theme="7" tint="0.79998168889431442"/>
        </patternFill>
      </fill>
      <border>
        <left/>
        <right/>
        <top/>
        <bottom/>
      </border>
    </dxf>
    <dxf>
      <fill>
        <patternFill>
          <bgColor theme="7" tint="0.79998168889431442"/>
        </patternFill>
      </fill>
      <border>
        <left/>
        <right/>
        <top/>
        <bottom/>
      </border>
    </dxf>
  </dxfs>
  <tableStyles count="0"/>
  <colors>
    <mruColors>
      <color rgb="FFFF33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462819307" count="1">
        <pm:charStyle name="Normal" fontId="1"/>
      </pm:charStyles>
      <pm:colors xmlns:pm="smNativeData" id="1462819307" count="49">
        <pm:color name="Couleur 24" rgb="FA7D00"/>
        <pm:color name="Couleur 25" rgb="3F3F76"/>
        <pm:color name="Couleur 26" rgb="9C0006"/>
        <pm:color name="Couleur 27" rgb="9C6500"/>
        <pm:color name="Couleur 28" rgb="006100"/>
        <pm:color name="Couleur 29" rgb="3F3F3F"/>
        <pm:color name="Couleur 30" rgb="1F497D"/>
        <pm:color name="Couleur 31" rgb="00B0F0"/>
        <pm:color name="Couleur 32" rgb="C0504D"/>
        <pm:color name="Couleur 33" rgb="9BBB59"/>
        <pm:color name="Couleur 34" rgb="0070C0"/>
        <pm:color name="Couleur 35" rgb="00B050"/>
        <pm:color name="Couleur 36" rgb="4BACC6"/>
        <pm:color name="Couleur 37" rgb="4F81BD"/>
        <pm:color name="Couleur 38" rgb="3333FF"/>
        <pm:color name="Couleur 39" rgb="FF99FF"/>
        <pm:color name="Couleur 40" rgb="8064A2"/>
        <pm:color name="Couleur 41" rgb="7030A0"/>
        <pm:color name="Couleur 42" rgb="F79646"/>
        <pm:color name="Couleur 43" rgb="DCE6F1"/>
        <pm:color name="Couleur 44" rgb="F2DCDB"/>
        <pm:color name="Couleur 45" rgb="EBF1DC"/>
        <pm:color name="Couleur 46" rgb="E4DFEC"/>
        <pm:color name="Couleur 47" rgb="DAEEF3"/>
        <pm:color name="Couleur 48" rgb="FDE9D9"/>
        <pm:color name="Couleur 49" rgb="B8CCE4"/>
        <pm:color name="Couleur 50" rgb="E6B8B7"/>
        <pm:color name="Couleur 51" rgb="D7E3BB"/>
        <pm:color name="Couleur 52" rgb="CCC0DA"/>
        <pm:color name="Couleur 53" rgb="B7DEE8"/>
        <pm:color name="Couleur 54" rgb="FCD5B4"/>
        <pm:color name="Couleur 55" rgb="95B3D7"/>
        <pm:color name="Couleur 56" rgb="DA9694"/>
        <pm:color name="Couleur 57" rgb="C2D69A"/>
        <pm:color name="Couleur 58" rgb="B1A0C7"/>
        <pm:color name="Couleur 59" rgb="92CDDC"/>
        <pm:color name="Couleur 60" rgb="FABF8F"/>
        <pm:color name="Couleur 61" rgb="F2F2F2"/>
        <pm:color name="Couleur 62" rgb="FFFFCC"/>
        <pm:color name="Couleur 63" rgb="FFCC99"/>
        <pm:color name="Couleur 64" rgb="FFC7CE"/>
        <pm:color name="Couleur 65" rgb="FFEB9C"/>
        <pm:color name="Couleur 66" rgb="C6EFCE"/>
        <pm:color name="Couleur 67" rgb="A5A5A5"/>
        <pm:color name="Gris 20%" rgb="000000"/>
        <pm:color name="Couleur 69" rgb="FF8001"/>
        <pm:color name="Couleur 70" rgb="B2B2B2"/>
        <pm:color name="Couleur 71" rgb="A6BEDD"/>
        <pm:color name="Couleur 72" rgb="92D050"/>
      </pm:colors>
    </ext>
  </extLst>
</styleSheet>
</file>

<file path=xl/_rels/comments1.xml.rels><?xml version="1.0" encoding="UTF-8" standalone="yes"?>
<Relationships xmlns="http://schemas.openxmlformats.org/package/2006/relationships"><Relationship Target="commentsmeta1" Type="http://customschemas.google.com/relationships/workbookmetadata" Id="rId1"></Relationship></Relationships>
</file>

<file path=xl/_rels/workbook.xml.rels><?xml version="1.0" encoding="UTF-8" standalone="yes"?>
<Relationships xmlns="http://schemas.openxmlformats.org/package/2006/relationships"><Relationship Type="http://schemas.openxmlformats.org/officeDocument/2006/relationships/worksheet" Target="worksheets/sheet3.xml" Id="rId3"></Relationship><Relationship Type="http://schemas.openxmlformats.org/officeDocument/2006/relationships/calcChain" Target="calcChain.xml" Id="rId7"></Relationship><Relationship Type="http://schemas.openxmlformats.org/officeDocument/2006/relationships/worksheet" Target="worksheets/sheet2.xml" Id="rId2"></Relationship><Relationship Type="http://schemas.openxmlformats.org/officeDocument/2006/relationships/worksheet" Target="worksheets/sheet1.xml" Id="rId1"></Relationship><Relationship Type="http://schemas.openxmlformats.org/officeDocument/2006/relationships/sharedStrings" Target="sharedStrings.xml" Id="rId6"></Relationship><Relationship Type="http://schemas.openxmlformats.org/officeDocument/2006/relationships/styles" Target="styles.xml" Id="rId5"></Relationship><Relationship Type="http://schemas.openxmlformats.org/officeDocument/2006/relationships/theme" Target="theme/theme1.xml" Id="rId4"></Relationship><Relationship Target="metadata" Type="http://customschemas.google.com/relationships/workbookmetadata" Id="rId8"></Relationship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1"/>
          <a:lstStyle/>
          <a:p>
            <a:pPr>
              <a:defRPr lang="fr-FR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rPr lang="ar-DZ"/>
              <a:t>4م1</a:t>
            </a:r>
          </a:p>
        </c:rich>
      </c:tx>
      <c:layout>
        <c:manualLayout>
          <c:xMode val="edge"/>
          <c:yMode val="edge"/>
          <c:x val="0.4345"/>
          <c:y val="2.6249999999999999E-2"/>
        </c:manualLayout>
      </c:layout>
      <c:overlay val="0"/>
    </c:title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826047548473231"/>
          <c:y val="0.27654983322321353"/>
          <c:w val="0.5210729640018128"/>
          <c:h val="0.5369327167551386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'نتائج القسم'!$C$4</c:f>
              <c:strCache>
                <c:ptCount val="1"/>
                <c:pt idx="0">
                  <c:v>4م1</c:v>
                </c:pt>
              </c:strCache>
            </c:strRef>
          </c:tx>
          <c:spPr>
            <a:scene3d>
              <a:camera prst="orthographicFront"/>
              <a:lightRig rig="threePt" dir="t">
                <a:rot lat="0" lon="0" rev="12000000"/>
              </a:lightRig>
            </a:scene3d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79646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2"/>
            <c:invertIfNegative val="0"/>
            <c:bubble3D val="0"/>
            <c:spPr>
              <a:solidFill>
                <a:srgbClr val="C0504D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3"/>
            <c:invertIfNegative val="0"/>
            <c:bubble3D val="0"/>
            <c:spPr>
              <a:solidFill>
                <a:srgbClr val="9BBB59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5"/>
            <c:invertIfNegative val="0"/>
            <c:bubble3D val="0"/>
            <c:spPr>
              <a:solidFill>
                <a:srgbClr val="7F7F7F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7"/>
            <c:invertIfNegative val="0"/>
            <c:bubble3D val="0"/>
            <c:spPr>
              <a:solidFill>
                <a:srgbClr val="7030A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Lbls>
            <c:numFmt formatCode="General" sourceLinked="0"/>
            <c:spPr>
              <a:noFill/>
              <a:ln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('نتائج فردية'!$H$2,'نتائج فردية'!$H$4,'نتائج فردية'!$H$6,'نتائج فردية'!$H$8,'نتائج فردية'!$H$10,'نتائج فردية'!$H$12,'نتائج فردية'!$H$14,'نتائج فردية'!$H$16)</c:f>
              <c:strCache>
                <c:ptCount val="8"/>
                <c:pt idx="0">
                  <c:v>من 00.00 الى 05.00</c:v>
                </c:pt>
                <c:pt idx="1">
                  <c:v>من 05.01 الى 08.00</c:v>
                </c:pt>
                <c:pt idx="2">
                  <c:v>من 08.01 الى 09.99</c:v>
                </c:pt>
                <c:pt idx="3">
                  <c:v>من 10.00 الى 11.99</c:v>
                </c:pt>
                <c:pt idx="4">
                  <c:v>من 12.00 الى 13.99</c:v>
                </c:pt>
                <c:pt idx="5">
                  <c:v>من 14.00 الى 15.99</c:v>
                </c:pt>
                <c:pt idx="6">
                  <c:v>من 16.00 الى 17.99</c:v>
                </c:pt>
                <c:pt idx="7">
                  <c:v>من 18.00 الى 20.00</c:v>
                </c:pt>
              </c:strCache>
            </c:strRef>
          </c:cat>
          <c:val>
            <c:numRef>
              <c:f>('نتائج فردية'!$J$2,'نتائج فردية'!$J$4,'نتائج فردية'!$J$6,'نتائج فردية'!$J$8,'نتائج فردية'!$J$10,'نتائج فردية'!$J$12,'نتائج فردية'!$J$14,'نتائج فردية'!$J$16)</c:f>
              <c:numCache>
                <c:formatCode>General</c:formatCode>
                <c:ptCount val="8"/>
                <c:pt idx="0">
                  <c:v>1</c:v>
                </c:pt>
                <c:pt idx="1">
                  <c:v>8</c:v>
                </c:pt>
                <c:pt idx="2">
                  <c:v>1</c:v>
                </c:pt>
                <c:pt idx="3">
                  <c:v>9</c:v>
                </c:pt>
                <c:pt idx="4">
                  <c:v>8</c:v>
                </c:pt>
                <c:pt idx="5">
                  <c:v>9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4975880"/>
        <c:axId val="265300424"/>
        <c:axId val="0"/>
      </c:bar3DChart>
      <c:catAx>
        <c:axId val="264975880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265300424"/>
        <c:crosses val="autoZero"/>
        <c:auto val="1"/>
        <c:lblAlgn val="l"/>
        <c:lblOffset val="100"/>
        <c:noMultiLvlLbl val="0"/>
      </c:catAx>
      <c:valAx>
        <c:axId val="265300424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crossAx val="264975880"/>
        <c:crosses val="autoZero"/>
        <c:crossBetween val="between"/>
      </c:valAx>
    </c:plotArea>
    <c:legend>
      <c:legendPos val="r"/>
      <c:overlay val="0"/>
      <c:spPr>
        <a:ln>
          <a:noFill/>
        </a:ln>
      </c:spPr>
    </c:legend>
    <c:plotVisOnly val="1"/>
    <c:dispBlanksAs val="gap"/>
    <c:showDLblsOverMax val="0"/>
  </c:chart>
  <c:spPr>
    <a:scene3d>
      <a:camera prst="orthographicFront"/>
      <a:lightRig rig="threePt" dir="t"/>
    </a:scene3d>
    <a:sp3d/>
  </c:spPr>
  <c:txPr>
    <a:bodyPr rot="0" anchor="t"/>
    <a:lstStyle/>
    <a:p>
      <a:pPr>
        <a:defRPr lang="fr-FR" sz="1000" b="0" i="0" u="none" strike="noStrike" kern="100">
          <a:solidFill>
            <a:srgbClr val="000000"/>
          </a:solidFill>
          <a:latin typeface="Calibri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1"/>
  <c:extLst>
    <c:ext xmlns:sm="pr" uri="pr">
      <sm:colorScheme xmlns:sm="pr" id="1462819307" val="15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1"/>
          <a:lstStyle/>
          <a:p>
            <a:pPr>
              <a:defRPr lang="fr-FR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rPr lang="ar-DZ"/>
              <a:t>4م1</a:t>
            </a:r>
          </a:p>
        </c:rich>
      </c:tx>
      <c:layout>
        <c:manualLayout>
          <c:xMode val="edge"/>
          <c:yMode val="edge"/>
          <c:x val="0.45800000000000002"/>
          <c:y val="2.6249999999999999E-2"/>
        </c:manualLayout>
      </c:layout>
      <c:overlay val="0"/>
    </c:title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884374655512414"/>
          <c:y val="0.27636859562036903"/>
          <c:w val="0.5210729640018128"/>
          <c:h val="0.5369327167551386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'نتائج القسم'!$C$4</c:f>
              <c:strCache>
                <c:ptCount val="1"/>
                <c:pt idx="0">
                  <c:v>4م1</c:v>
                </c:pt>
              </c:strCache>
            </c:strRef>
          </c:tx>
          <c:spPr>
            <a:scene3d>
              <a:camera prst="orthographicFront"/>
              <a:lightRig rig="threePt" dir="t">
                <a:rot lat="0" lon="0" rev="12000000"/>
              </a:lightRig>
            </a:scene3d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79646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2"/>
            <c:invertIfNegative val="0"/>
            <c:bubble3D val="0"/>
            <c:spPr>
              <a:solidFill>
                <a:srgbClr val="C0504D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3"/>
            <c:invertIfNegative val="0"/>
            <c:bubble3D val="0"/>
            <c:spPr>
              <a:solidFill>
                <a:srgbClr val="9BBB59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5"/>
            <c:invertIfNegative val="0"/>
            <c:bubble3D val="0"/>
            <c:spPr>
              <a:solidFill>
                <a:srgbClr val="7F7F7F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7"/>
            <c:invertIfNegative val="0"/>
            <c:bubble3D val="0"/>
            <c:spPr>
              <a:solidFill>
                <a:srgbClr val="7030A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Lbls>
            <c:numFmt formatCode="General" sourceLinked="0"/>
            <c:spPr>
              <a:noFill/>
              <a:ln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من 00.00 الى 05.00</c:v>
              </c:pt>
              <c:pt idx="1">
                <c:v>من 05.01 الى 08.00</c:v>
              </c:pt>
              <c:pt idx="2">
                <c:v>من 08.01 الى 09.99</c:v>
              </c:pt>
              <c:pt idx="3">
                <c:v>من 10.00 الى 11.99</c:v>
              </c:pt>
              <c:pt idx="4">
                <c:v>من 12.00 الى 13.99</c:v>
              </c:pt>
              <c:pt idx="5">
                <c:v>من 14.00 الى 15.99</c:v>
              </c:pt>
              <c:pt idx="6">
                <c:v>من 16.00 الى 17.99</c:v>
              </c:pt>
              <c:pt idx="7">
                <c:v>من 18.00 الى 20.00</c:v>
              </c:pt>
            </c:strLit>
          </c:cat>
          <c:val>
            <c:numRef>
              <c:f>('نتائج فردية'!$P$2,'نتائج فردية'!$P$4,'نتائج فردية'!$P$6,'نتائج فردية'!$P$8,'نتائج فردية'!$P$10,'نتائج فردية'!$P$12,'نتائج فردية'!$P$14,'نتائج فردية'!$P$16)</c:f>
              <c:numCache>
                <c:formatCode>General</c:formatCode>
                <c:ptCount val="8"/>
                <c:pt idx="0">
                  <c:v>1</c:v>
                </c:pt>
                <c:pt idx="1">
                  <c:v>8</c:v>
                </c:pt>
                <c:pt idx="2">
                  <c:v>1</c:v>
                </c:pt>
                <c:pt idx="3">
                  <c:v>9</c:v>
                </c:pt>
                <c:pt idx="4">
                  <c:v>8</c:v>
                </c:pt>
                <c:pt idx="5">
                  <c:v>9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6294056"/>
        <c:axId val="265977568"/>
        <c:axId val="0"/>
      </c:bar3DChart>
      <c:catAx>
        <c:axId val="266294056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265977568"/>
        <c:crosses val="autoZero"/>
        <c:auto val="1"/>
        <c:lblAlgn val="l"/>
        <c:lblOffset val="100"/>
        <c:noMultiLvlLbl val="0"/>
      </c:catAx>
      <c:valAx>
        <c:axId val="265977568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crossAx val="266294056"/>
        <c:crosses val="autoZero"/>
        <c:crossBetween val="between"/>
      </c:valAx>
    </c:plotArea>
    <c:legend>
      <c:legendPos val="r"/>
      <c:overlay val="0"/>
      <c:spPr>
        <a:ln>
          <a:noFill/>
        </a:ln>
      </c:spPr>
    </c:legend>
    <c:plotVisOnly val="1"/>
    <c:dispBlanksAs val="gap"/>
    <c:showDLblsOverMax val="0"/>
  </c:chart>
  <c:spPr>
    <a:scene3d>
      <a:camera prst="orthographicFront"/>
      <a:lightRig rig="threePt" dir="t"/>
    </a:scene3d>
    <a:sp3d/>
  </c:spPr>
  <c:txPr>
    <a:bodyPr rot="0" anchor="t"/>
    <a:lstStyle/>
    <a:p>
      <a:pPr>
        <a:defRPr lang="fr-FR" sz="1000" b="0" i="0" u="none" strike="noStrike" kern="100">
          <a:solidFill>
            <a:srgbClr val="000000"/>
          </a:solidFill>
          <a:latin typeface="Calibri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1"/>
  <c:extLst>
    <c:ext xmlns:sm="pr" uri="pr">
      <sm:colorScheme xmlns:sm="pr" id="1462819307" val="15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1"/>
          <a:lstStyle/>
          <a:p>
            <a:pPr>
              <a:defRPr lang="fr-FR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rPr lang="ar-DZ"/>
              <a:t>4م1</a:t>
            </a:r>
          </a:p>
        </c:rich>
      </c:tx>
      <c:layout>
        <c:manualLayout>
          <c:xMode val="edge"/>
          <c:yMode val="edge"/>
          <c:x val="0.45200000000000001"/>
          <c:y val="2.6249999999999999E-2"/>
        </c:manualLayout>
      </c:layout>
      <c:overlay val="0"/>
    </c:title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660337895388975"/>
          <c:y val="0.28097874025044972"/>
          <c:w val="0.50529977945450821"/>
          <c:h val="0.5369222327946048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'نتائج القسم'!$C$4</c:f>
              <c:strCache>
                <c:ptCount val="1"/>
                <c:pt idx="0">
                  <c:v>4م1</c:v>
                </c:pt>
              </c:strCache>
            </c:strRef>
          </c:tx>
          <c:spPr>
            <a:scene3d>
              <a:camera prst="orthographicFront"/>
              <a:lightRig rig="threePt" dir="t">
                <a:rot lat="0" lon="0" rev="12000000"/>
              </a:lightRig>
            </a:scene3d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79646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2"/>
            <c:invertIfNegative val="0"/>
            <c:bubble3D val="0"/>
            <c:spPr>
              <a:solidFill>
                <a:srgbClr val="C0504D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3"/>
            <c:invertIfNegative val="0"/>
            <c:bubble3D val="0"/>
            <c:spPr>
              <a:solidFill>
                <a:srgbClr val="9BBB59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5"/>
            <c:invertIfNegative val="0"/>
            <c:bubble3D val="0"/>
            <c:spPr>
              <a:solidFill>
                <a:srgbClr val="7F7F7F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7"/>
            <c:invertIfNegative val="0"/>
            <c:bubble3D val="0"/>
            <c:spPr>
              <a:solidFill>
                <a:srgbClr val="7030A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Lbls>
            <c:numFmt formatCode="General" sourceLinked="0"/>
            <c:spPr>
              <a:noFill/>
              <a:ln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من 00.00 الى 05.00</c:v>
              </c:pt>
              <c:pt idx="1">
                <c:v>من 05.01 الى 08.00</c:v>
              </c:pt>
              <c:pt idx="2">
                <c:v>من 08.01 الى 09.99</c:v>
              </c:pt>
              <c:pt idx="3">
                <c:v>من 10.00 الى 11.99</c:v>
              </c:pt>
              <c:pt idx="4">
                <c:v>من 12.00 الى 13.99</c:v>
              </c:pt>
              <c:pt idx="5">
                <c:v>من 14.00 الى 15.99</c:v>
              </c:pt>
              <c:pt idx="6">
                <c:v>من 16.00 الى 17.99</c:v>
              </c:pt>
              <c:pt idx="7">
                <c:v>من 18.00 الى 20.00</c:v>
              </c:pt>
            </c:strLit>
          </c:cat>
          <c:val>
            <c:numRef>
              <c:f>('نتائج فردية'!$F$21,'نتائج فردية'!$F$23,'نتائج فردية'!$F$25,'نتائج فردية'!$F$27,'نتائج فردية'!$F$29,'نتائج فردية'!$F$31,'نتائج فردية'!$F$33,'نتائج فردية'!$F$35)</c:f>
              <c:numCache>
                <c:formatCode>0.00</c:formatCode>
                <c:ptCount val="8"/>
                <c:pt idx="0">
                  <c:v>1</c:v>
                </c:pt>
                <c:pt idx="1">
                  <c:v>8</c:v>
                </c:pt>
                <c:pt idx="2">
                  <c:v>1</c:v>
                </c:pt>
                <c:pt idx="3">
                  <c:v>9</c:v>
                </c:pt>
                <c:pt idx="4">
                  <c:v>8</c:v>
                </c:pt>
                <c:pt idx="5">
                  <c:v>9</c:v>
                </c:pt>
                <c:pt idx="6">
                  <c:v>1</c:v>
                </c:pt>
                <c:pt idx="7" formatCode="General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6329152"/>
        <c:axId val="266377160"/>
        <c:axId val="0"/>
      </c:bar3DChart>
      <c:catAx>
        <c:axId val="266329152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266377160"/>
        <c:crosses val="autoZero"/>
        <c:auto val="1"/>
        <c:lblAlgn val="l"/>
        <c:lblOffset val="100"/>
        <c:noMultiLvlLbl val="0"/>
      </c:catAx>
      <c:valAx>
        <c:axId val="266377160"/>
        <c:scaling>
          <c:orientation val="minMax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266329152"/>
        <c:crosses val="autoZero"/>
        <c:crossBetween val="between"/>
      </c:valAx>
    </c:plotArea>
    <c:legend>
      <c:legendPos val="r"/>
      <c:overlay val="0"/>
      <c:spPr>
        <a:ln>
          <a:noFill/>
        </a:ln>
      </c:spPr>
    </c:legend>
    <c:plotVisOnly val="1"/>
    <c:dispBlanksAs val="gap"/>
    <c:showDLblsOverMax val="0"/>
  </c:chart>
  <c:spPr>
    <a:scene3d>
      <a:camera prst="orthographicFront"/>
      <a:lightRig rig="threePt" dir="t"/>
    </a:scene3d>
    <a:sp3d/>
  </c:spPr>
  <c:txPr>
    <a:bodyPr rot="0" anchor="t"/>
    <a:lstStyle/>
    <a:p>
      <a:pPr>
        <a:defRPr lang="fr-FR" sz="1000" b="0" i="0" u="none" strike="noStrike" kern="100">
          <a:solidFill>
            <a:srgbClr val="000000"/>
          </a:solidFill>
          <a:latin typeface="Calibri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1"/>
  <c:extLst>
    <c:ext xmlns:sm="pr" uri="pr">
      <sm:colorScheme xmlns:sm="pr" id="1462819307" val="15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anchor="ctr" anchorCtr="1"/>
          <a:lstStyle/>
          <a:p>
            <a:pPr>
              <a:defRPr lang="fr-FR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rPr lang="ar-DZ"/>
              <a:t>4م1</a:t>
            </a:r>
          </a:p>
        </c:rich>
      </c:tx>
      <c:layout>
        <c:manualLayout>
          <c:xMode val="edge"/>
          <c:yMode val="edge"/>
          <c:x val="0.4345"/>
          <c:y val="2.6249999999999999E-2"/>
        </c:manualLayout>
      </c:layout>
      <c:overlay val="0"/>
    </c:title>
    <c:autoTitleDeleted val="0"/>
    <c:view3D>
      <c:rotX val="30"/>
      <c:hPercent val="100"/>
      <c:rotY val="100"/>
      <c:depthPercent val="15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19175"/>
          <c:y val="0.1835"/>
          <c:w val="0.59399999999999997"/>
          <c:h val="0.59075"/>
        </c:manualLayout>
      </c:layout>
      <c:pie3DChart>
        <c:varyColors val="1"/>
        <c:ser>
          <c:idx val="0"/>
          <c:order val="0"/>
          <c:tx>
            <c:strRef>
              <c:f>'نتائج القسم'!$C$4</c:f>
              <c:strCache>
                <c:ptCount val="1"/>
                <c:pt idx="0">
                  <c:v>4م1</c:v>
                </c:pt>
              </c:strCache>
            </c:strRef>
          </c:tx>
          <c:spPr>
            <a:scene3d>
              <a:camera prst="orthographicFront"/>
              <a:lightRig rig="threePt" dir="t">
                <a:rot lat="0" lon="0" rev="12000000"/>
              </a:lightRig>
            </a:scene3d>
            <a:sp3d/>
          </c:spPr>
          <c:explosion val="25"/>
          <c:dPt>
            <c:idx val="0"/>
            <c:bubble3D val="0"/>
            <c:spPr>
              <a:solidFill>
                <a:srgbClr val="92D05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1"/>
            <c:bubble3D val="0"/>
            <c:spPr>
              <a:solidFill>
                <a:srgbClr val="FF000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Lbls>
            <c:dLbl>
              <c:idx val="0"/>
              <c:layout>
                <c:manualLayout>
                  <c:x val="-0.78127217733983878"/>
                  <c:y val="-0.50430335147213889"/>
                </c:manualLayout>
              </c:layout>
              <c:numFmt formatCode="General" sourceLinked="0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78127217733983878"/>
                  <c:y val="-0.50430335147213889"/>
                </c:manualLayout>
              </c:layout>
              <c:numFmt formatCode="General" sourceLinked="0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"/>
                    </c:manualLayout>
                  </c15:layout>
                </c:ext>
              </c:extLst>
            </c:dLbl>
            <c:numFmt formatCode="General" sourceLinked="0"/>
            <c:spPr>
              <a:noFill/>
              <a:ln>
                <a:noFill/>
              </a:ln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'نتائج القسم'!$AB$64:$AB$65</c:f>
              <c:strCache>
                <c:ptCount val="2"/>
                <c:pt idx="0">
                  <c:v>اكبر من 10:</c:v>
                </c:pt>
                <c:pt idx="1">
                  <c:v>اصغر من 10:</c:v>
                </c:pt>
              </c:strCache>
            </c:strRef>
          </c:cat>
          <c:val>
            <c:numRef>
              <c:f>'نتائج القسم'!$AF$64:$AF$65</c:f>
              <c:numCache>
                <c:formatCode>0.00%</c:formatCode>
                <c:ptCount val="2"/>
                <c:pt idx="0">
                  <c:v>0.73684210526315785</c:v>
                </c:pt>
                <c:pt idx="1">
                  <c:v>0.26315789473684209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</c:plotArea>
    <c:legend>
      <c:legendPos val="r"/>
      <c:legendEntry>
        <c:idx val="0"/>
        <c:txPr>
          <a:bodyPr/>
          <a:lstStyle/>
          <a:p>
            <a:pPr rtl="0">
              <a:defRPr/>
            </a:pPr>
            <a:endParaRPr lang="fr-FR"/>
          </a:p>
        </c:txPr>
      </c:legendEntry>
      <c:overlay val="0"/>
      <c:spPr>
        <a:ln>
          <a:noFill/>
        </a:ln>
      </c:spPr>
      <c:txPr>
        <a:bodyPr/>
        <a:lstStyle/>
        <a:p>
          <a:pPr rtl="0">
            <a:defRPr/>
          </a:pPr>
          <a:endParaRPr lang="fr-FR"/>
        </a:p>
      </c:txPr>
    </c:legend>
    <c:plotVisOnly val="1"/>
    <c:dispBlanksAs val="gap"/>
    <c:showDLblsOverMax val="0"/>
  </c:chart>
  <c:txPr>
    <a:bodyPr rot="0" anchor="t"/>
    <a:lstStyle/>
    <a:p>
      <a:pPr>
        <a:defRPr lang="fr-FR" sz="1000" b="0" i="0" u="none" strike="noStrike" kern="100">
          <a:solidFill>
            <a:srgbClr val="000000"/>
          </a:solidFill>
          <a:latin typeface="Calibri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1"/>
  <c:extLst>
    <c:ext xmlns:sm="pr" uri="pr">
      <sm:colorScheme xmlns:sm="pr" id="1462819307" val="10"/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1"/>
          <a:lstStyle/>
          <a:p>
            <a:pPr>
              <a:defRPr lang="fr-FR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rPr lang="ar-DZ"/>
              <a:t>4م1</a:t>
            </a:r>
          </a:p>
        </c:rich>
      </c:tx>
      <c:layout>
        <c:manualLayout>
          <c:xMode val="edge"/>
          <c:yMode val="edge"/>
          <c:x val="0.45800000000000002"/>
          <c:y val="2.6249999999999999E-2"/>
        </c:manualLayout>
      </c:layout>
      <c:overlay val="0"/>
    </c:title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984922161116078"/>
          <c:y val="0.28518743683157782"/>
          <c:w val="0.54982129515083966"/>
          <c:h val="0.51888395134082843"/>
        </c:manualLayout>
      </c:layout>
      <c:bar3DChart>
        <c:barDir val="col"/>
        <c:grouping val="clustered"/>
        <c:varyColors val="0"/>
        <c:ser>
          <c:idx val="0"/>
          <c:order val="0"/>
          <c:spPr>
            <a:scene3d>
              <a:camera prst="orthographicFront"/>
              <a:lightRig rig="threePt" dir="t">
                <a:rot lat="0" lon="0" rev="12000000"/>
              </a:lightRig>
            </a:scene3d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79646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2"/>
            <c:invertIfNegative val="0"/>
            <c:bubble3D val="0"/>
            <c:spPr>
              <a:solidFill>
                <a:srgbClr val="C0504D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3"/>
            <c:invertIfNegative val="0"/>
            <c:bubble3D val="0"/>
            <c:spPr>
              <a:solidFill>
                <a:srgbClr val="9BBB59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5"/>
            <c:invertIfNegative val="0"/>
            <c:bubble3D val="0"/>
            <c:spPr>
              <a:solidFill>
                <a:srgbClr val="7F7F7F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7"/>
            <c:invertIfNegative val="0"/>
            <c:bubble3D val="0"/>
            <c:spPr>
              <a:solidFill>
                <a:srgbClr val="7030A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Lbls>
            <c:numFmt formatCode="General" sourceLinked="0"/>
            <c:spPr>
              <a:noFill/>
              <a:ln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('نتائج فردية'!$B$2,'نتائج فردية'!$B$4,'نتائج فردية'!$B$6,'نتائج فردية'!$B$8,'نتائج فردية'!$B$10,'نتائج فردية'!$B$12,'نتائج فردية'!$B$14,'نتائج فردية'!$B$16)</c:f>
              <c:strCache>
                <c:ptCount val="8"/>
                <c:pt idx="0">
                  <c:v>من 00.00 الى 05.00</c:v>
                </c:pt>
                <c:pt idx="1">
                  <c:v>من 05.01 الى 08.00</c:v>
                </c:pt>
                <c:pt idx="2">
                  <c:v>من 08.01 الى 09.99</c:v>
                </c:pt>
                <c:pt idx="3">
                  <c:v>من 10.00 الى 11.99</c:v>
                </c:pt>
                <c:pt idx="4">
                  <c:v>من 12.00 الى 13.99</c:v>
                </c:pt>
                <c:pt idx="5">
                  <c:v>من 14.00 الى 15.99</c:v>
                </c:pt>
                <c:pt idx="6">
                  <c:v>من 16.00 الى 17.99</c:v>
                </c:pt>
                <c:pt idx="7">
                  <c:v>من 18.00 الى 20.00</c:v>
                </c:pt>
              </c:strCache>
            </c:strRef>
          </c:cat>
          <c:val>
            <c:numRef>
              <c:f>('نتائج فردية'!$D$2,'نتائج فردية'!$D$4,'نتائج فردية'!$D$6,'نتائج فردية'!$D$8,'نتائج فردية'!$D$10,'نتائج فردية'!$D$12,'نتائج فردية'!$D$14,'نتائج فردية'!$D$16)</c:f>
              <c:numCache>
                <c:formatCode>General</c:formatCode>
                <c:ptCount val="8"/>
                <c:pt idx="0">
                  <c:v>1</c:v>
                </c:pt>
                <c:pt idx="1">
                  <c:v>8</c:v>
                </c:pt>
                <c:pt idx="2">
                  <c:v>1</c:v>
                </c:pt>
                <c:pt idx="3">
                  <c:v>9</c:v>
                </c:pt>
                <c:pt idx="4">
                  <c:v>8</c:v>
                </c:pt>
                <c:pt idx="5">
                  <c:v>9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6469064"/>
        <c:axId val="266049552"/>
        <c:axId val="0"/>
      </c:bar3DChart>
      <c:catAx>
        <c:axId val="266469064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266049552"/>
        <c:crosses val="autoZero"/>
        <c:auto val="1"/>
        <c:lblAlgn val="l"/>
        <c:lblOffset val="100"/>
        <c:noMultiLvlLbl val="0"/>
      </c:catAx>
      <c:valAx>
        <c:axId val="266049552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crossAx val="266469064"/>
        <c:crosses val="autoZero"/>
        <c:crossBetween val="between"/>
      </c:valAx>
    </c:plotArea>
    <c:legend>
      <c:legendPos val="r"/>
      <c:overlay val="0"/>
      <c:spPr>
        <a:ln>
          <a:noFill/>
        </a:ln>
      </c:spPr>
      <c:txPr>
        <a:bodyPr/>
        <a:lstStyle/>
        <a:p>
          <a:pPr rtl="0">
            <a:defRPr/>
          </a:pPr>
          <a:endParaRPr lang="fr-FR"/>
        </a:p>
      </c:txPr>
    </c:legend>
    <c:plotVisOnly val="1"/>
    <c:dispBlanksAs val="gap"/>
    <c:showDLblsOverMax val="0"/>
  </c:chart>
  <c:spPr>
    <a:scene3d>
      <a:camera prst="orthographicFront"/>
      <a:lightRig rig="threePt" dir="t"/>
    </a:scene3d>
    <a:sp3d/>
  </c:spPr>
  <c:txPr>
    <a:bodyPr rot="0" anchor="t"/>
    <a:lstStyle/>
    <a:p>
      <a:pPr>
        <a:defRPr lang="fr-FR" sz="1000" b="0" i="0" u="none" strike="noStrike" kern="100">
          <a:solidFill>
            <a:srgbClr val="000000"/>
          </a:solidFill>
          <a:latin typeface="Calibri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1"/>
  <c:extLst>
    <c:ext xmlns:sm="pr" uri="pr">
      <sm:colorScheme xmlns:sm="pr" id="1462819307" val="15"/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9544</xdr:colOff>
      <xdr:row>0</xdr:row>
      <xdr:rowOff>171617</xdr:rowOff>
    </xdr:from>
    <xdr:to>
      <xdr:col>11</xdr:col>
      <xdr:colOff>519819</xdr:colOff>
      <xdr:row>16</xdr:row>
      <xdr:rowOff>3814</xdr:rowOff>
    </xdr:to>
    <xdr:graphicFrame macro="">
      <xdr:nvGraphicFramePr>
        <xdr:cNvPr id="5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9544</xdr:colOff>
      <xdr:row>0</xdr:row>
      <xdr:rowOff>171617</xdr:rowOff>
    </xdr:from>
    <xdr:to>
      <xdr:col>17</xdr:col>
      <xdr:colOff>519819</xdr:colOff>
      <xdr:row>16</xdr:row>
      <xdr:rowOff>3814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18678</xdr:colOff>
      <xdr:row>20</xdr:row>
      <xdr:rowOff>0</xdr:rowOff>
    </xdr:from>
    <xdr:to>
      <xdr:col>5</xdr:col>
      <xdr:colOff>528954</xdr:colOff>
      <xdr:row>35</xdr:row>
      <xdr:rowOff>22120</xdr:rowOff>
    </xdr:to>
    <xdr:graphicFrame macro="">
      <xdr:nvGraphicFramePr>
        <xdr:cNvPr id="3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704478</xdr:colOff>
      <xdr:row>19</xdr:row>
      <xdr:rowOff>171617</xdr:rowOff>
    </xdr:from>
    <xdr:to>
      <xdr:col>12</xdr:col>
      <xdr:colOff>500379</xdr:colOff>
      <xdr:row>35</xdr:row>
      <xdr:rowOff>3814</xdr:rowOff>
    </xdr:to>
    <xdr:graphicFrame macro="">
      <xdr:nvGraphicFramePr>
        <xdr:cNvPr id="2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28575</xdr:colOff>
      <xdr:row>0</xdr:row>
      <xdr:rowOff>171450</xdr:rowOff>
    </xdr:from>
    <xdr:to>
      <xdr:col>5</xdr:col>
      <xdr:colOff>538850</xdr:colOff>
      <xdr:row>16</xdr:row>
      <xdr:rowOff>3647</xdr:rowOff>
    </xdr:to>
    <xdr:graphicFrame macro="">
      <xdr:nvGraphicFramePr>
        <xdr:cNvPr id="9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0.01244</cdr:x>
      <cdr:y>0.01764</cdr:y>
    </cdr:from>
    <cdr:to>
      <cdr:x>0.25055</cdr:x>
      <cdr:y>0.13669</cdr:y>
    </cdr:to>
    <cdr:sp macro="" textlink="">
      <cdr:nvSpPr>
        <cdr:cNvPr id="2" name="Rectangle à coins arrondis 1"/>
        <cdr:cNvSpPr/>
      </cdr:nvSpPr>
      <cdr:spPr>
        <a:xfrm xmlns:a="http://schemas.openxmlformats.org/drawingml/2006/main">
          <a:off x="50800" y="50800"/>
          <a:ext cx="972000" cy="34290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bg2">
            <a:lumMod val="90000"/>
          </a:schemeClr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ar-DZ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الفصل</a:t>
          </a:r>
          <a:r>
            <a:rPr lang="ar-DZ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الثاني</a:t>
          </a:r>
          <a:endParaRPr lang="fr-FR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0.01244</cdr:x>
      <cdr:y>0.01764</cdr:y>
    </cdr:from>
    <cdr:to>
      <cdr:x>0.25055</cdr:x>
      <cdr:y>0.13669</cdr:y>
    </cdr:to>
    <cdr:sp macro="" textlink="">
      <cdr:nvSpPr>
        <cdr:cNvPr id="2" name="Rectangle à coins arrondis 1"/>
        <cdr:cNvSpPr/>
      </cdr:nvSpPr>
      <cdr:spPr>
        <a:xfrm xmlns:a="http://schemas.openxmlformats.org/drawingml/2006/main">
          <a:off x="50800" y="50800"/>
          <a:ext cx="972000" cy="34290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bg2">
            <a:lumMod val="90000"/>
          </a:schemeClr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ar-DZ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الفصل</a:t>
          </a:r>
          <a:r>
            <a:rPr lang="ar-DZ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الثالث</a:t>
          </a:r>
          <a:endParaRPr lang="fr-FR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0.01167</cdr:x>
      <cdr:y>0.01323</cdr:y>
    </cdr:from>
    <cdr:to>
      <cdr:x>0.24978</cdr:x>
      <cdr:y>0.13231</cdr:y>
    </cdr:to>
    <cdr:sp macro="" textlink="">
      <cdr:nvSpPr>
        <cdr:cNvPr id="2" name="Rectangle à coins arrondis 1"/>
        <cdr:cNvSpPr/>
      </cdr:nvSpPr>
      <cdr:spPr>
        <a:xfrm xmlns:a="http://schemas.openxmlformats.org/drawingml/2006/main">
          <a:off x="47625" y="38100"/>
          <a:ext cx="972000" cy="34290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bg2">
            <a:lumMod val="90000"/>
          </a:schemeClr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ar-DZ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الســـــنـوي</a:t>
          </a:r>
          <a:endParaRPr lang="fr-FR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0.01244</cdr:x>
      <cdr:y>0.01764</cdr:y>
    </cdr:from>
    <cdr:to>
      <cdr:x>0.25055</cdr:x>
      <cdr:y>0.13669</cdr:y>
    </cdr:to>
    <cdr:sp macro="" textlink="">
      <cdr:nvSpPr>
        <cdr:cNvPr id="2" name="Rectangle à coins arrondis 1"/>
        <cdr:cNvSpPr/>
      </cdr:nvSpPr>
      <cdr:spPr>
        <a:xfrm xmlns:a="http://schemas.openxmlformats.org/drawingml/2006/main">
          <a:off x="50800" y="50800"/>
          <a:ext cx="972000" cy="34290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bg2">
            <a:lumMod val="90000"/>
          </a:schemeClr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ar-DZ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نسبة</a:t>
          </a:r>
          <a:r>
            <a:rPr lang="ar-DZ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النجاح</a:t>
          </a:r>
          <a:endParaRPr lang="fr-FR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0.01244</cdr:x>
      <cdr:y>0.01764</cdr:y>
    </cdr:from>
    <cdr:to>
      <cdr:x>0.25055</cdr:x>
      <cdr:y>0.13669</cdr:y>
    </cdr:to>
    <cdr:sp macro="" textlink="">
      <cdr:nvSpPr>
        <cdr:cNvPr id="2" name="Rectangle à coins arrondis 1"/>
        <cdr:cNvSpPr/>
      </cdr:nvSpPr>
      <cdr:spPr>
        <a:xfrm xmlns:a="http://schemas.openxmlformats.org/drawingml/2006/main">
          <a:off x="50800" y="50800"/>
          <a:ext cx="972000" cy="34290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bg2">
            <a:lumMod val="90000"/>
          </a:schemeClr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ar-DZ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الفصل</a:t>
          </a:r>
          <a:r>
            <a:rPr lang="ar-DZ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الأول</a:t>
          </a:r>
          <a:endParaRPr lang="fr-FR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Type="http://schemas.openxmlformats.org/officeDocument/2006/relationships/drawing" Target="../drawings/drawing1.xml" Id="rId1"></Relationship><Relationship Target="../comments2.xml" Type="http://schemas.openxmlformats.org/officeDocument/2006/relationships/comments" Id="rId2"></Relationship><Relationship Target="../drawings/vmlDrawing2.vml" Type="http://schemas.openxmlformats.org/officeDocument/2006/relationships/vmlDrawing" Id="rId3"></Relationship></Relationships>
</file>

<file path=xl/worksheets/_rels/sheet3.xml.rels><?xml version="1.0" encoding="UTF-8" standalone="yes"?>
<Relationships xmlns="http://schemas.openxmlformats.org/package/2006/relationships"><Relationship Type="http://schemas.openxmlformats.org/officeDocument/2006/relationships/printerSettings" Target="../printerSettings/printerSettings2.bin" Id="rId2"></Relationship><Relationship Type="http://schemas.openxmlformats.org/officeDocument/2006/relationships/hyperlink" Target="mailto:31_med@live.fr" Id="rId1" TargetMode="External"></Relationship><Relationship Target="../comments3.xml" Type="http://schemas.openxmlformats.org/officeDocument/2006/relationships/comments" Id="rId3"></Relationship><Relationship Target="../drawings/vmlDrawing3.vml" Type="http://schemas.openxmlformats.org/officeDocument/2006/relationships/vmlDrawing" Id="rId4"></Relationship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65"/>
  <sheetViews>
    <sheetView workbookViewId="0" tabSelected="1" rightToLeft="1">
      <pane ySplit="7" topLeftCell="D8" xSplit="3" state="frozen" activePane="bottomRight"/>
      <selection activeCell="D1" pane="topRight" sqref="D1"/>
      <selection activeCell="A8" pane="bottomLeft" sqref="A8"/>
      <selection activeCell="E9" pane="bottomRight" sqref="E9"/>
    </sheetView>
  </sheetViews>
  <sheetFormatPr defaultColWidth="10.7109375" defaultRowHeight="15" baseColWidth="10"/>
  <cols>
    <col customWidth="1" min="1" max="1" width="6.28515625"/>
    <col customWidth="1" min="2" max="2" width="22.28515625"/>
    <col customWidth="1" min="3" max="3" width="11.42578125"/>
    <col customWidth="1" min="6" max="6" width="14.7109375"/>
    <col customWidth="1" min="7" max="8" width="11.42578125"/>
    <col customWidth="1" min="10" max="10" width="12"/>
    <col customWidth="1" min="12" max="12" width="5.85546875"/>
    <col customWidth="1" min="13" max="13" width="6.140625"/>
    <col customWidth="1" min="14" max="15" width="6.42578125"/>
    <col customWidth="1" min="24" max="24" width="6.85546875"/>
    <col customWidth="1" min="25" max="25" width="6.28515625" style="4"/>
    <col customWidth="1" min="26" max="26" width="6.42578125" style="4"/>
    <col customWidth="1" min="27" max="27" width="6.5703125"/>
    <col customWidth="1" min="34" max="34" width="13.5703125"/>
    <col customWidth="1" min="36" max="36" width="14.7109375"/>
    <col customWidth="1" min="37" max="37" width="16.28515625"/>
    <col customWidth="1" min="38" max="38" width="7"/>
    <col customWidth="1" min="39" max="39" width="6.5703125"/>
    <col customWidth="1" min="40" max="40" width="6.85546875"/>
    <col customWidth="1" min="41" max="41" width="6.7109375"/>
    <col customWidth="1" min="42" max="42" width="9.140625"/>
  </cols>
  <sheetData>
    <row spans="1:41" r="1">
      <c r="C1" s="114" t="s">
        <v>0</v>
      </c>
      <c r="D1" s="114"/>
      <c r="E1" s="114"/>
      <c r="F1" s="114"/>
      <c r="G1" s="114"/>
      <c r="H1" s="114"/>
      <c r="I1" s="114"/>
      <c r="Q1" s="114" t="s">
        <v>0</v>
      </c>
      <c r="R1" s="114"/>
      <c r="S1" s="114"/>
      <c r="T1" s="114"/>
      <c r="U1" s="114"/>
      <c r="V1" s="114"/>
      <c r="W1" s="114"/>
      <c r="AC1" s="114" t="s">
        <v>0</v>
      </c>
      <c r="AD1" s="114"/>
      <c r="AE1" s="114"/>
      <c r="AF1" s="114"/>
      <c r="AG1" s="114"/>
      <c r="AH1" s="114"/>
      <c r="AI1" s="114"/>
    </row>
    <row spans="1:41" r="2" ht="18.75">
      <c r="B2" s="12" t="s">
        <v>1</v>
      </c>
      <c r="C2" s="35" t="s">
        <v>56</v>
      </c>
      <c r="F2" s="92" t="str">
        <f>IF(MAX(D8:F57)&gt;20,"خـطـأ",IF(MAX(H8:H57)&gt;60,"خـطـأ",IF(MAX(L8:O57)&gt;0,"خطأ","صحيحة")))</f>
        <v>صحيحة</v>
      </c>
      <c r="I2" s="12" t="s">
        <v>2</v>
      </c>
      <c r="J2" s="41" t="s">
        <v>3</v>
      </c>
      <c r="P2" s="12" t="s">
        <v>4</v>
      </c>
      <c r="Q2" s="32" t="str">
        <f>HYPERLINK(C2)</f>
        <v>أستاذ الفيزياء</v>
      </c>
      <c r="T2" s="40" t="str">
        <f>IF(MAX(P8:R57)&gt;20,"خـطـأ",IF(MAX(T8:T57)&gt;60,"خـطـأ",IF(MAX(X8:AA57)&gt;0,"خطأ","صحيحة")))</f>
        <v>صحيحة</v>
      </c>
      <c r="U2" s="12" t="s">
        <v>2</v>
      </c>
      <c r="V2" s="42" t="str">
        <f>HYPERLINK(J2)</f>
        <v>محمد بوضياف</v>
      </c>
      <c r="AC2" s="12" t="s">
        <v>4</v>
      </c>
      <c r="AD2" s="32" t="str">
        <f>HYPERLINK(Q2)</f>
        <v>أستاذ الفيزياء</v>
      </c>
      <c r="AF2" s="40" t="str">
        <f>IF(MAX(AB8:AD57)&gt;20,"خـطـأ",IF(MAX(AF8:AF57)&gt;60,"خـطـأ",IF(MAX(AL8:AO57)&gt;0,"خطأ","صحيحة")))</f>
        <v>صحيحة</v>
      </c>
      <c r="AI2" s="12" t="s">
        <v>2</v>
      </c>
      <c r="AJ2" s="42" t="str">
        <f>HYPERLINK(J2)</f>
        <v>محمد بوضياف</v>
      </c>
    </row>
    <row spans="1:41" r="3">
      <c r="B3" s="12" t="s">
        <v>5</v>
      </c>
      <c r="C3" s="115" t="s">
        <v>6</v>
      </c>
      <c r="D3" s="115"/>
      <c r="F3" t="s">
        <v>7</v>
      </c>
      <c r="G3" s="27">
        <v>0</v>
      </c>
      <c r="I3" s="12" t="s">
        <v>8</v>
      </c>
      <c r="J3" s="115">
        <v>2</v>
      </c>
      <c r="K3" s="115"/>
      <c r="P3" s="12" t="s">
        <v>5</v>
      </c>
      <c r="Q3" s="32" t="str">
        <f>HYPERLINK(C3)</f>
        <v>العلوم الفيزيائية و التكنولوجية</v>
      </c>
      <c r="U3" s="12" t="s">
        <v>8</v>
      </c>
      <c r="V3" s="25" t="str">
        <f>HYPERLINK(J3)</f>
        <v>2</v>
      </c>
      <c r="AC3" s="12" t="s">
        <v>5</v>
      </c>
      <c r="AD3" s="32" t="str">
        <f>HYPERLINK(Q3)</f>
        <v>العلوم الفيزيائية و التكنولوجية</v>
      </c>
      <c r="AI3" s="12" t="s">
        <v>8</v>
      </c>
      <c r="AJ3" s="25" t="str">
        <f>HYPERLINK(V3)</f>
        <v>2</v>
      </c>
    </row>
    <row spans="1:41" r="4">
      <c r="B4" s="26" t="s">
        <v>9</v>
      </c>
      <c r="C4" s="33" t="s">
        <v>10</v>
      </c>
      <c r="D4" s="1"/>
      <c r="F4" t="s">
        <v>11</v>
      </c>
      <c r="G4" s="93">
        <f>IF(ISNUMBER(C5),C5-G3,"")</f>
        <v>38</v>
      </c>
      <c r="I4" s="12" t="s">
        <v>12</v>
      </c>
      <c r="J4" s="116" t="s">
        <v>54</v>
      </c>
      <c r="K4" s="116"/>
      <c r="L4" s="12"/>
      <c r="P4" s="26" t="s">
        <v>9</v>
      </c>
      <c r="Q4" s="25" t="str">
        <f>HYPERLINK(C4)</f>
        <v>4م1</v>
      </c>
      <c r="U4" s="12" t="s">
        <v>12</v>
      </c>
      <c r="V4" s="117" t="str">
        <f>HYPERLINK(J4)</f>
        <v>2015/2016</v>
      </c>
      <c r="W4" s="118"/>
      <c r="AC4" s="26" t="s">
        <v>9</v>
      </c>
      <c r="AD4" s="25" t="str">
        <f>HYPERLINK(Q4)</f>
        <v>4م1</v>
      </c>
      <c r="AI4" s="12" t="s">
        <v>12</v>
      </c>
      <c r="AJ4" s="117" t="str">
        <f>HYPERLINK(J4)</f>
        <v>2015/2016</v>
      </c>
      <c r="AK4" s="118"/>
    </row>
    <row spans="1:41" r="5">
      <c r="B5" s="12" t="s">
        <v>13</v>
      </c>
      <c r="C5" s="94">
        <f>SUM(C59,C60)</f>
        <v>38</v>
      </c>
      <c r="D5" s="1"/>
    </row>
    <row spans="1:41" r="6" thickBot="1" ht="15.75">
      <c r="B6" s="119" t="s">
        <v>14</v>
      </c>
      <c r="C6" s="119"/>
      <c r="D6" s="119"/>
      <c r="E6" s="119"/>
      <c r="F6" s="119"/>
      <c r="G6" s="119"/>
      <c r="H6" s="119"/>
      <c r="I6" s="119"/>
      <c r="J6" s="119"/>
      <c r="Q6" s="120" t="s">
        <v>15</v>
      </c>
      <c r="R6" s="120"/>
      <c r="S6" s="120"/>
      <c r="T6" s="120"/>
      <c r="U6" s="120"/>
      <c r="V6" s="120"/>
      <c r="AC6" s="120" t="s">
        <v>16</v>
      </c>
      <c r="AD6" s="120"/>
      <c r="AE6" s="120"/>
      <c r="AF6" s="120"/>
      <c r="AG6" s="120"/>
      <c r="AH6" s="120"/>
      <c r="AI6" s="120"/>
      <c r="AJ6" s="120"/>
    </row>
    <row spans="1:41" r="7" thickBot="1" ht="15.75">
      <c r="A7" s="2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  <c r="H7" s="2" t="s">
        <v>24</v>
      </c>
      <c r="I7" s="2" t="s">
        <v>25</v>
      </c>
      <c r="J7" s="2" t="s">
        <v>55</v>
      </c>
      <c r="K7" s="2" t="s">
        <v>27</v>
      </c>
      <c r="P7" s="15" t="s">
        <v>20</v>
      </c>
      <c r="Q7" s="15" t="s">
        <v>21</v>
      </c>
      <c r="R7" s="15" t="s">
        <v>22</v>
      </c>
      <c r="S7" s="15" t="s">
        <v>28</v>
      </c>
      <c r="T7" s="15" t="s">
        <v>24</v>
      </c>
      <c r="U7" s="88" t="s">
        <v>25</v>
      </c>
      <c r="V7" s="15" t="s">
        <v>26</v>
      </c>
      <c r="W7" s="15" t="s">
        <v>27</v>
      </c>
      <c r="AB7" s="3" t="s">
        <v>20</v>
      </c>
      <c r="AC7" s="3" t="s">
        <v>21</v>
      </c>
      <c r="AD7" s="3" t="s">
        <v>22</v>
      </c>
      <c r="AE7" s="3" t="s">
        <v>28</v>
      </c>
      <c r="AF7" s="3" t="s">
        <v>24</v>
      </c>
      <c r="AG7" s="89" t="s">
        <v>25</v>
      </c>
      <c r="AH7" s="3" t="s">
        <v>26</v>
      </c>
      <c r="AI7" s="3" t="s">
        <v>27</v>
      </c>
      <c r="AJ7" s="3" t="s">
        <v>29</v>
      </c>
      <c r="AK7" s="3" t="s">
        <v>30</v>
      </c>
    </row>
    <row spans="1:41" r="8" thickBot="1" ht="18.75">
      <c r="A8" s="2">
        <v>1</v>
      </c>
      <c r="B8" s="82"/>
      <c r="C8" s="43"/>
      <c r="D8" s="62">
        <v>14.5</v>
      </c>
      <c r="E8" s="63">
        <v>16</v>
      </c>
      <c r="F8" s="49"/>
      <c r="G8" s="95">
        <f ref="G8:G39" t="shared" si="0">IF(ISNUMBER(E8),AVERAGE(D8:F8)*2," ")</f>
        <v>30.5</v>
      </c>
      <c r="H8" s="64">
        <v>27</v>
      </c>
      <c r="I8" s="98">
        <f ref="I8:I57" t="shared" si="1">IF(ISNUMBER(H8),SUM(G8+H8)/5," ")</f>
        <v>11.5</v>
      </c>
      <c r="J8" s="99">
        <f ref="J8:J39" t="shared" si="2">IF(ISNUMBER(H8),SUM(I8*$J$3)," ")</f>
        <v>23</v>
      </c>
      <c r="K8" s="100" t="str">
        <f ref="K8:K39" t="shared" si="3">IF(ISNUMBER(H8),IF(I8&gt;8,IF(I8&lt;10,"دون الوسط",IF(I8&lt;12,"متوسط",IF(I8&lt;14,"جيـد",IF(I8&lt;17,"جيـد جـدا","ممتاز")))),"ضعيف جـدا"),"غائب")</f>
        <v>متوسط</v>
      </c>
      <c r="L8" s="91">
        <f ref="L8:L39" t="shared" si="4">MOD(D8,0.25)</f>
        <v>0</v>
      </c>
      <c r="M8" s="91">
        <f ref="M8:M39" t="shared" si="5">MOD(E8,0.25)</f>
        <v>0</v>
      </c>
      <c r="N8" s="91">
        <f ref="N8:N39" t="shared" si="6">MOD(F8,0.25)</f>
        <v>0</v>
      </c>
      <c r="O8" s="91">
        <f ref="O8:O39" t="shared" si="7">MOD(H8/3,0.25)</f>
        <v>0</v>
      </c>
      <c r="P8" s="62">
        <v>14.5</v>
      </c>
      <c r="Q8" s="63">
        <v>16</v>
      </c>
      <c r="R8" s="49"/>
      <c r="S8" s="69">
        <f ref="S8:S39" t="shared" si="8">IF(ISNUMBER(Q8),AVERAGE(P8:R8)*2," ")</f>
        <v>30.5</v>
      </c>
      <c r="T8" s="64">
        <v>27</v>
      </c>
      <c r="U8" s="87">
        <f ref="U8:U39" t="shared" si="9">IF(ISNUMBER(T8),SUM(S8+T8)/5," ")</f>
        <v>11.5</v>
      </c>
      <c r="V8" s="70">
        <f ref="V8:V39" t="shared" si="10">IF(ISNUMBER(T8),SUM(U8*$J$3)," ")</f>
        <v>23</v>
      </c>
      <c r="W8" s="21" t="str">
        <f ref="W8:W39" t="shared" si="11">IF(ISNUMBER(T8),IF(U8&gt;8,IF(U8&lt;10,"ضعيف",IF(U8&lt;12,"متوسط",IF(U8&lt;14,"جيـد",IF(U8&lt;17,"جيـد جـدا","ممتاز")))),"ضعيف جـدا"),"غائب")</f>
        <v>متوسط</v>
      </c>
      <c r="X8" s="90">
        <f>MOD(P8,0.25)</f>
        <v>0</v>
      </c>
      <c r="Y8" s="90">
        <f ref="Y8:Z56" t="shared" si="12">MOD(Q8,0.25)</f>
        <v>0</v>
      </c>
      <c r="Z8" s="90">
        <f t="shared" si="12"/>
        <v>0</v>
      </c>
      <c r="AA8" s="90">
        <f>MOD(T8/3,0.25)</f>
        <v>0</v>
      </c>
      <c r="AB8" s="62">
        <v>14.5</v>
      </c>
      <c r="AC8" s="63">
        <v>16</v>
      </c>
      <c r="AD8" s="49">
        <v>16</v>
      </c>
      <c r="AE8" s="69">
        <f ref="AE8:AE39" t="shared" si="13">IF(ISNUMBER(AC8),AVERAGE(AB8:AD8)*2," ")</f>
        <v>31</v>
      </c>
      <c r="AF8" s="64">
        <v>27</v>
      </c>
      <c r="AG8" s="87">
        <f ref="AG8:AG39" t="shared" si="14">IF(ISNUMBER(AF8),SUM(AE8+AF8)/5," ")</f>
        <v>11.6</v>
      </c>
      <c r="AH8" s="70">
        <f ref="AH8:AH39" t="shared" si="15">IF(ISNUMBER(AF8),SUM(AG8*$J$3)," ")</f>
        <v>23.2</v>
      </c>
      <c r="AI8" s="18" t="str">
        <f ref="AI8:AI39" t="shared" si="16">IF(ISNUMBER(AF8),IF(AJ8&gt;8,IF(AJ8&lt;10,"ضعيف",IF(AJ8&lt;12,"متوسط",IF(AJ8&lt;14,"جيـد",IF(AG8&lt;17,"جيـد جـدا","ممتاز")))),"ضعيف جـدا"),"غائب")</f>
        <v>متوسط</v>
      </c>
      <c r="AJ8" s="79">
        <f ref="AJ8:AJ39" t="shared" si="17">IF(ISNUMBER(AG8),AVERAGE(I8,U8,AG8)," ")</f>
        <v>11.533333333333333</v>
      </c>
      <c r="AK8" s="21" t="str">
        <f ref="AK8:AK39" t="shared" si="18">IF(ISNUMBER(AF8),IF(AJ8&gt;8,IF(AJ8&lt;10,"ضعيف",IF(AJ8&lt;12,"متوسط",IF(AJ8&lt;14,"جيـد",IF(AJ8&lt;17,"جيـد جـدا","ممتاز")))),"ضعيف جـدا"),"غائب")</f>
        <v>متوسط</v>
      </c>
      <c r="AL8" s="90">
        <f>MOD(AB8,0.25)</f>
        <v>0</v>
      </c>
      <c r="AM8" s="90">
        <f ref="AM8:AN56" t="shared" si="19">MOD(AC8,0.25)</f>
        <v>0</v>
      </c>
      <c r="AN8" s="90">
        <f t="shared" si="19"/>
        <v>0</v>
      </c>
      <c r="AO8" s="90">
        <f>MOD(AF8/3,0.25)</f>
        <v>0</v>
      </c>
    </row>
    <row spans="1:41" r="9" thickBot="1" ht="18.75">
      <c r="A9" s="2">
        <v>2</v>
      </c>
      <c r="B9" s="83"/>
      <c r="C9" s="44"/>
      <c r="D9" s="65">
        <v>18.5</v>
      </c>
      <c r="E9" s="66">
        <v>17</v>
      </c>
      <c r="F9" s="50"/>
      <c r="G9" s="96">
        <f t="shared" si="0"/>
        <v>35.5</v>
      </c>
      <c r="H9" s="67">
        <v>42</v>
      </c>
      <c r="I9" s="98">
        <f t="shared" si="1"/>
        <v>15.5</v>
      </c>
      <c r="J9" s="101">
        <f t="shared" si="2"/>
        <v>31</v>
      </c>
      <c r="K9" s="102" t="str">
        <f t="shared" si="3"/>
        <v>جيـد جـدا</v>
      </c>
      <c r="L9" s="91">
        <f t="shared" si="4"/>
        <v>0</v>
      </c>
      <c r="M9" s="91">
        <f t="shared" si="5"/>
        <v>0</v>
      </c>
      <c r="N9" s="91">
        <f t="shared" si="6"/>
        <v>0</v>
      </c>
      <c r="O9" s="91">
        <f t="shared" si="7"/>
        <v>0</v>
      </c>
      <c r="P9" s="65">
        <v>18.5</v>
      </c>
      <c r="Q9" s="66">
        <v>17</v>
      </c>
      <c r="R9" s="50"/>
      <c r="S9" s="71">
        <f t="shared" si="8"/>
        <v>35.5</v>
      </c>
      <c r="T9" s="67">
        <v>42</v>
      </c>
      <c r="U9" s="51">
        <f t="shared" si="9"/>
        <v>15.5</v>
      </c>
      <c r="V9" s="73">
        <f t="shared" si="10"/>
        <v>31</v>
      </c>
      <c r="W9" s="22" t="str">
        <f t="shared" si="11"/>
        <v>جيـد جـدا</v>
      </c>
      <c r="X9" s="90">
        <f ref="X9:X40" t="shared" si="20">MOD(P9,0.25)</f>
        <v>0</v>
      </c>
      <c r="Y9" s="90">
        <f t="shared" si="12"/>
        <v>0</v>
      </c>
      <c r="Z9" s="90">
        <f t="shared" si="12"/>
        <v>0</v>
      </c>
      <c r="AA9" s="90">
        <f ref="AA9:AA56" t="shared" si="21">MOD(T9/3,0.25)</f>
        <v>0</v>
      </c>
      <c r="AB9" s="65">
        <v>18.5</v>
      </c>
      <c r="AC9" s="66">
        <v>17</v>
      </c>
      <c r="AD9" s="50"/>
      <c r="AE9" s="71">
        <f t="shared" si="13"/>
        <v>35.5</v>
      </c>
      <c r="AF9" s="67">
        <v>42</v>
      </c>
      <c r="AG9" s="51">
        <f t="shared" si="14"/>
        <v>15.5</v>
      </c>
      <c r="AH9" s="73">
        <f t="shared" si="15"/>
        <v>31</v>
      </c>
      <c r="AI9" s="19" t="str">
        <f t="shared" si="16"/>
        <v>جيـد جـدا</v>
      </c>
      <c r="AJ9" s="80">
        <f t="shared" si="17"/>
        <v>15.5</v>
      </c>
      <c r="AK9" s="22" t="str">
        <f t="shared" si="18"/>
        <v>جيـد جـدا</v>
      </c>
      <c r="AL9" s="90">
        <f ref="AL9:AL57" t="shared" si="22">MOD(AB9,0.25)</f>
        <v>0</v>
      </c>
      <c r="AM9" s="90">
        <f t="shared" si="19"/>
        <v>0</v>
      </c>
      <c r="AN9" s="90">
        <f t="shared" si="19"/>
        <v>0</v>
      </c>
      <c r="AO9" s="90">
        <f ref="AO9:AO57" t="shared" si="23">MOD(AF9/3,0.25)</f>
        <v>0</v>
      </c>
    </row>
    <row spans="1:41" r="10" thickBot="1" ht="18.75">
      <c r="A10" s="2">
        <v>3</v>
      </c>
      <c r="B10" s="83"/>
      <c r="C10" s="44"/>
      <c r="D10" s="65">
        <v>11.5</v>
      </c>
      <c r="E10" s="66">
        <v>10</v>
      </c>
      <c r="F10" s="50"/>
      <c r="G10" s="96">
        <f t="shared" si="0"/>
        <v>21.5</v>
      </c>
      <c r="H10" s="67">
        <v>18</v>
      </c>
      <c r="I10" s="98">
        <f t="shared" si="1"/>
        <v>7.9</v>
      </c>
      <c r="J10" s="101">
        <f t="shared" si="2"/>
        <v>15.8</v>
      </c>
      <c r="K10" s="102" t="str">
        <f t="shared" si="3"/>
        <v>ضعيف جـدا</v>
      </c>
      <c r="L10" s="91">
        <f t="shared" si="4"/>
        <v>0</v>
      </c>
      <c r="M10" s="91">
        <f t="shared" si="5"/>
        <v>0</v>
      </c>
      <c r="N10" s="91">
        <f t="shared" si="6"/>
        <v>0</v>
      </c>
      <c r="O10" s="91">
        <f t="shared" si="7"/>
        <v>0</v>
      </c>
      <c r="P10" s="65">
        <v>11.5</v>
      </c>
      <c r="Q10" s="66">
        <v>10</v>
      </c>
      <c r="R10" s="50"/>
      <c r="S10" s="71">
        <f t="shared" si="8"/>
        <v>21.5</v>
      </c>
      <c r="T10" s="67">
        <v>18</v>
      </c>
      <c r="U10" s="51">
        <f t="shared" si="9"/>
        <v>7.9</v>
      </c>
      <c r="V10" s="73">
        <f t="shared" si="10"/>
        <v>15.8</v>
      </c>
      <c r="W10" s="22" t="str">
        <f t="shared" si="11"/>
        <v>ضعيف جـدا</v>
      </c>
      <c r="X10" s="90">
        <f t="shared" si="20"/>
        <v>0</v>
      </c>
      <c r="Y10" s="90">
        <f t="shared" si="12"/>
        <v>0</v>
      </c>
      <c r="Z10" s="90">
        <f t="shared" si="12"/>
        <v>0</v>
      </c>
      <c r="AA10" s="90">
        <f t="shared" si="21"/>
        <v>0</v>
      </c>
      <c r="AB10" s="65">
        <v>11.5</v>
      </c>
      <c r="AC10" s="66">
        <v>10</v>
      </c>
      <c r="AD10" s="50"/>
      <c r="AE10" s="71">
        <f t="shared" si="13"/>
        <v>21.5</v>
      </c>
      <c r="AF10" s="67">
        <v>18</v>
      </c>
      <c r="AG10" s="51">
        <f t="shared" si="14"/>
        <v>7.9</v>
      </c>
      <c r="AH10" s="73">
        <f t="shared" si="15"/>
        <v>15.8</v>
      </c>
      <c r="AI10" s="19" t="str">
        <f t="shared" si="16"/>
        <v>ضعيف جـدا</v>
      </c>
      <c r="AJ10" s="80">
        <f t="shared" si="17"/>
        <v>7.9000000000000012</v>
      </c>
      <c r="AK10" s="22" t="str">
        <f t="shared" si="18"/>
        <v>ضعيف جـدا</v>
      </c>
      <c r="AL10" s="90">
        <f t="shared" si="22"/>
        <v>0</v>
      </c>
      <c r="AM10" s="90">
        <f t="shared" si="19"/>
        <v>0</v>
      </c>
      <c r="AN10" s="90">
        <f t="shared" si="19"/>
        <v>0</v>
      </c>
      <c r="AO10" s="90">
        <f t="shared" si="23"/>
        <v>0</v>
      </c>
    </row>
    <row spans="1:41" r="11" thickBot="1" ht="18.75">
      <c r="A11" s="2">
        <v>4</v>
      </c>
      <c r="B11" s="83"/>
      <c r="C11" s="44"/>
      <c r="D11" s="65">
        <v>11</v>
      </c>
      <c r="E11" s="66">
        <v>13</v>
      </c>
      <c r="F11" s="50"/>
      <c r="G11" s="96">
        <f t="shared" si="0"/>
        <v>24</v>
      </c>
      <c r="H11" s="68">
        <v>15</v>
      </c>
      <c r="I11" s="98">
        <f t="shared" si="1"/>
        <v>7.8</v>
      </c>
      <c r="J11" s="101">
        <f t="shared" si="2"/>
        <v>15.6</v>
      </c>
      <c r="K11" s="102" t="str">
        <f t="shared" si="3"/>
        <v>ضعيف جـدا</v>
      </c>
      <c r="L11" s="91">
        <f t="shared" si="4"/>
        <v>0</v>
      </c>
      <c r="M11" s="91">
        <f t="shared" si="5"/>
        <v>0</v>
      </c>
      <c r="N11" s="91">
        <f t="shared" si="6"/>
        <v>0</v>
      </c>
      <c r="O11" s="91">
        <f t="shared" si="7"/>
        <v>0</v>
      </c>
      <c r="P11" s="65">
        <v>11</v>
      </c>
      <c r="Q11" s="66">
        <v>13</v>
      </c>
      <c r="R11" s="50"/>
      <c r="S11" s="71">
        <f t="shared" si="8"/>
        <v>24</v>
      </c>
      <c r="T11" s="68">
        <v>15</v>
      </c>
      <c r="U11" s="51">
        <f t="shared" si="9"/>
        <v>7.8</v>
      </c>
      <c r="V11" s="73">
        <f t="shared" si="10"/>
        <v>15.6</v>
      </c>
      <c r="W11" s="22" t="str">
        <f t="shared" si="11"/>
        <v>ضعيف جـدا</v>
      </c>
      <c r="X11" s="90">
        <f t="shared" si="20"/>
        <v>0</v>
      </c>
      <c r="Y11" s="90">
        <f t="shared" si="12"/>
        <v>0</v>
      </c>
      <c r="Z11" s="90">
        <f t="shared" si="12"/>
        <v>0</v>
      </c>
      <c r="AA11" s="90">
        <f t="shared" si="21"/>
        <v>0</v>
      </c>
      <c r="AB11" s="65">
        <v>11</v>
      </c>
      <c r="AC11" s="66">
        <v>13</v>
      </c>
      <c r="AD11" s="50"/>
      <c r="AE11" s="71">
        <f t="shared" si="13"/>
        <v>24</v>
      </c>
      <c r="AF11" s="68">
        <v>15</v>
      </c>
      <c r="AG11" s="51">
        <f t="shared" si="14"/>
        <v>7.8</v>
      </c>
      <c r="AH11" s="73">
        <f t="shared" si="15"/>
        <v>15.6</v>
      </c>
      <c r="AI11" s="19" t="str">
        <f t="shared" si="16"/>
        <v>ضعيف جـدا</v>
      </c>
      <c r="AJ11" s="80">
        <f t="shared" si="17"/>
        <v>7.8</v>
      </c>
      <c r="AK11" s="22" t="str">
        <f t="shared" si="18"/>
        <v>ضعيف جـدا</v>
      </c>
      <c r="AL11" s="90">
        <f t="shared" si="22"/>
        <v>0</v>
      </c>
      <c r="AM11" s="90">
        <f t="shared" si="19"/>
        <v>0</v>
      </c>
      <c r="AN11" s="90">
        <f t="shared" si="19"/>
        <v>0</v>
      </c>
      <c r="AO11" s="90">
        <f t="shared" si="23"/>
        <v>0</v>
      </c>
    </row>
    <row spans="1:41" r="12" thickBot="1" ht="18.75">
      <c r="A12" s="2">
        <v>5</v>
      </c>
      <c r="B12" s="83"/>
      <c r="C12" s="44"/>
      <c r="D12" s="65">
        <v>17.5</v>
      </c>
      <c r="E12" s="66">
        <v>15</v>
      </c>
      <c r="F12" s="50"/>
      <c r="G12" s="96">
        <f t="shared" si="0"/>
        <v>32.5</v>
      </c>
      <c r="H12" s="67">
        <v>39</v>
      </c>
      <c r="I12" s="98">
        <f t="shared" si="1"/>
        <v>14.3</v>
      </c>
      <c r="J12" s="101">
        <f t="shared" si="2"/>
        <v>28.6</v>
      </c>
      <c r="K12" s="102" t="str">
        <f t="shared" si="3"/>
        <v>جيـد جـدا</v>
      </c>
      <c r="L12" s="91">
        <f t="shared" si="4"/>
        <v>0</v>
      </c>
      <c r="M12" s="91">
        <f t="shared" si="5"/>
        <v>0</v>
      </c>
      <c r="N12" s="91">
        <f t="shared" si="6"/>
        <v>0</v>
      </c>
      <c r="O12" s="91">
        <f t="shared" si="7"/>
        <v>0</v>
      </c>
      <c r="P12" s="65">
        <v>17.5</v>
      </c>
      <c r="Q12" s="66">
        <v>15</v>
      </c>
      <c r="R12" s="50"/>
      <c r="S12" s="71">
        <f t="shared" si="8"/>
        <v>32.5</v>
      </c>
      <c r="T12" s="67">
        <v>39</v>
      </c>
      <c r="U12" s="51">
        <f t="shared" si="9"/>
        <v>14.3</v>
      </c>
      <c r="V12" s="73">
        <f t="shared" si="10"/>
        <v>28.6</v>
      </c>
      <c r="W12" s="22" t="str">
        <f t="shared" si="11"/>
        <v>جيـد جـدا</v>
      </c>
      <c r="X12" s="90">
        <f t="shared" si="20"/>
        <v>0</v>
      </c>
      <c r="Y12" s="90">
        <f t="shared" si="12"/>
        <v>0</v>
      </c>
      <c r="Z12" s="90">
        <f t="shared" si="12"/>
        <v>0</v>
      </c>
      <c r="AA12" s="90">
        <f t="shared" si="21"/>
        <v>0</v>
      </c>
      <c r="AB12" s="65">
        <v>17.5</v>
      </c>
      <c r="AC12" s="66">
        <v>15</v>
      </c>
      <c r="AD12" s="50"/>
      <c r="AE12" s="71">
        <f t="shared" si="13"/>
        <v>32.5</v>
      </c>
      <c r="AF12" s="67">
        <v>39</v>
      </c>
      <c r="AG12" s="51">
        <f t="shared" si="14"/>
        <v>14.3</v>
      </c>
      <c r="AH12" s="73">
        <f t="shared" si="15"/>
        <v>28.6</v>
      </c>
      <c r="AI12" s="19" t="str">
        <f t="shared" si="16"/>
        <v>جيـد جـدا</v>
      </c>
      <c r="AJ12" s="80">
        <f t="shared" si="17"/>
        <v>14.300000000000002</v>
      </c>
      <c r="AK12" s="22" t="str">
        <f t="shared" si="18"/>
        <v>جيـد جـدا</v>
      </c>
      <c r="AL12" s="90">
        <f t="shared" si="22"/>
        <v>0</v>
      </c>
      <c r="AM12" s="90">
        <f t="shared" si="19"/>
        <v>0</v>
      </c>
      <c r="AN12" s="90">
        <f t="shared" si="19"/>
        <v>0</v>
      </c>
      <c r="AO12" s="90">
        <f t="shared" si="23"/>
        <v>0</v>
      </c>
    </row>
    <row spans="1:41" r="13" thickBot="1" ht="18.75">
      <c r="A13" s="2">
        <v>6</v>
      </c>
      <c r="B13" s="83"/>
      <c r="C13" s="44"/>
      <c r="D13" s="65">
        <v>18.5</v>
      </c>
      <c r="E13" s="66">
        <v>15</v>
      </c>
      <c r="F13" s="50"/>
      <c r="G13" s="96">
        <f t="shared" si="0"/>
        <v>33.5</v>
      </c>
      <c r="H13" s="67">
        <v>42</v>
      </c>
      <c r="I13" s="98">
        <f t="shared" si="1"/>
        <v>15.1</v>
      </c>
      <c r="J13" s="101">
        <f t="shared" si="2"/>
        <v>30.2</v>
      </c>
      <c r="K13" s="102" t="str">
        <f t="shared" si="3"/>
        <v>جيـد جـدا</v>
      </c>
      <c r="L13" s="91">
        <f t="shared" si="4"/>
        <v>0</v>
      </c>
      <c r="M13" s="91">
        <f t="shared" si="5"/>
        <v>0</v>
      </c>
      <c r="N13" s="91">
        <f t="shared" si="6"/>
        <v>0</v>
      </c>
      <c r="O13" s="91">
        <f t="shared" si="7"/>
        <v>0</v>
      </c>
      <c r="P13" s="65">
        <v>18.5</v>
      </c>
      <c r="Q13" s="66">
        <v>15</v>
      </c>
      <c r="R13" s="50"/>
      <c r="S13" s="71">
        <f t="shared" si="8"/>
        <v>33.5</v>
      </c>
      <c r="T13" s="67">
        <v>42</v>
      </c>
      <c r="U13" s="51">
        <f t="shared" si="9"/>
        <v>15.1</v>
      </c>
      <c r="V13" s="73">
        <f t="shared" si="10"/>
        <v>30.2</v>
      </c>
      <c r="W13" s="22" t="str">
        <f t="shared" si="11"/>
        <v>جيـد جـدا</v>
      </c>
      <c r="X13" s="90">
        <f t="shared" si="20"/>
        <v>0</v>
      </c>
      <c r="Y13" s="90">
        <f t="shared" si="12"/>
        <v>0</v>
      </c>
      <c r="Z13" s="90">
        <f t="shared" si="12"/>
        <v>0</v>
      </c>
      <c r="AA13" s="90">
        <f t="shared" si="21"/>
        <v>0</v>
      </c>
      <c r="AB13" s="65">
        <v>18.5</v>
      </c>
      <c r="AC13" s="66">
        <v>15</v>
      </c>
      <c r="AD13" s="50"/>
      <c r="AE13" s="71">
        <f t="shared" si="13"/>
        <v>33.5</v>
      </c>
      <c r="AF13" s="67">
        <v>42</v>
      </c>
      <c r="AG13" s="51">
        <f t="shared" si="14"/>
        <v>15.1</v>
      </c>
      <c r="AH13" s="73">
        <f t="shared" si="15"/>
        <v>30.2</v>
      </c>
      <c r="AI13" s="19" t="str">
        <f t="shared" si="16"/>
        <v>جيـد جـدا</v>
      </c>
      <c r="AJ13" s="80">
        <f t="shared" si="17"/>
        <v>15.1</v>
      </c>
      <c r="AK13" s="22" t="str">
        <f t="shared" si="18"/>
        <v>جيـد جـدا</v>
      </c>
      <c r="AL13" s="90">
        <f t="shared" si="22"/>
        <v>0</v>
      </c>
      <c r="AM13" s="90">
        <f t="shared" si="19"/>
        <v>0</v>
      </c>
      <c r="AN13" s="90">
        <f t="shared" si="19"/>
        <v>0</v>
      </c>
      <c r="AO13" s="90">
        <f t="shared" si="23"/>
        <v>0</v>
      </c>
    </row>
    <row spans="1:41" r="14" thickBot="1" ht="18.75">
      <c r="A14" s="2">
        <v>7</v>
      </c>
      <c r="B14" s="83"/>
      <c r="C14" s="44"/>
      <c r="D14" s="65">
        <v>10</v>
      </c>
      <c r="E14" s="66">
        <v>12</v>
      </c>
      <c r="F14" s="50"/>
      <c r="G14" s="96">
        <f t="shared" si="0"/>
        <v>22</v>
      </c>
      <c r="H14" s="67">
        <v>6</v>
      </c>
      <c r="I14" s="98">
        <f t="shared" si="1"/>
        <v>5.6</v>
      </c>
      <c r="J14" s="101">
        <f t="shared" si="2"/>
        <v>11.2</v>
      </c>
      <c r="K14" s="102" t="str">
        <f t="shared" si="3"/>
        <v>ضعيف جـدا</v>
      </c>
      <c r="L14" s="91">
        <f t="shared" si="4"/>
        <v>0</v>
      </c>
      <c r="M14" s="91">
        <f t="shared" si="5"/>
        <v>0</v>
      </c>
      <c r="N14" s="91">
        <f t="shared" si="6"/>
        <v>0</v>
      </c>
      <c r="O14" s="91">
        <f t="shared" si="7"/>
        <v>0</v>
      </c>
      <c r="P14" s="65">
        <v>10</v>
      </c>
      <c r="Q14" s="66">
        <v>12</v>
      </c>
      <c r="R14" s="50"/>
      <c r="S14" s="71">
        <f t="shared" si="8"/>
        <v>22</v>
      </c>
      <c r="T14" s="67">
        <v>6</v>
      </c>
      <c r="U14" s="51">
        <f t="shared" si="9"/>
        <v>5.6</v>
      </c>
      <c r="V14" s="73">
        <f t="shared" si="10"/>
        <v>11.2</v>
      </c>
      <c r="W14" s="22" t="str">
        <f t="shared" si="11"/>
        <v>ضعيف جـدا</v>
      </c>
      <c r="X14" s="90">
        <f t="shared" si="20"/>
        <v>0</v>
      </c>
      <c r="Y14" s="90">
        <f t="shared" si="12"/>
        <v>0</v>
      </c>
      <c r="Z14" s="90">
        <f t="shared" si="12"/>
        <v>0</v>
      </c>
      <c r="AA14" s="90">
        <f t="shared" si="21"/>
        <v>0</v>
      </c>
      <c r="AB14" s="65">
        <v>10</v>
      </c>
      <c r="AC14" s="66">
        <v>12</v>
      </c>
      <c r="AD14" s="50"/>
      <c r="AE14" s="71">
        <f t="shared" si="13"/>
        <v>22</v>
      </c>
      <c r="AF14" s="67">
        <v>6</v>
      </c>
      <c r="AG14" s="51">
        <f t="shared" si="14"/>
        <v>5.6</v>
      </c>
      <c r="AH14" s="73">
        <f t="shared" si="15"/>
        <v>11.2</v>
      </c>
      <c r="AI14" s="19" t="str">
        <f t="shared" si="16"/>
        <v>ضعيف جـدا</v>
      </c>
      <c r="AJ14" s="80">
        <f t="shared" si="17"/>
        <v>5.5999999999999988</v>
      </c>
      <c r="AK14" s="22" t="str">
        <f t="shared" si="18"/>
        <v>ضعيف جـدا</v>
      </c>
      <c r="AL14" s="90">
        <f t="shared" si="22"/>
        <v>0</v>
      </c>
      <c r="AM14" s="90">
        <f t="shared" si="19"/>
        <v>0</v>
      </c>
      <c r="AN14" s="90">
        <f t="shared" si="19"/>
        <v>0</v>
      </c>
      <c r="AO14" s="90">
        <f t="shared" si="23"/>
        <v>0</v>
      </c>
    </row>
    <row spans="1:41" r="15" customHeight="1" thickBot="1" ht="17.25">
      <c r="A15" s="2">
        <v>8</v>
      </c>
      <c r="B15" s="83"/>
      <c r="C15" s="44"/>
      <c r="D15" s="65">
        <v>17.5</v>
      </c>
      <c r="E15" s="66">
        <v>18</v>
      </c>
      <c r="F15" s="50"/>
      <c r="G15" s="96">
        <f t="shared" si="0"/>
        <v>35.5</v>
      </c>
      <c r="H15" s="67">
        <v>24</v>
      </c>
      <c r="I15" s="98">
        <f t="shared" si="1"/>
        <v>11.9</v>
      </c>
      <c r="J15" s="101">
        <f t="shared" si="2"/>
        <v>23.8</v>
      </c>
      <c r="K15" s="102" t="str">
        <f t="shared" si="3"/>
        <v>متوسط</v>
      </c>
      <c r="L15" s="91">
        <f t="shared" si="4"/>
        <v>0</v>
      </c>
      <c r="M15" s="91">
        <f t="shared" si="5"/>
        <v>0</v>
      </c>
      <c r="N15" s="91">
        <f t="shared" si="6"/>
        <v>0</v>
      </c>
      <c r="O15" s="91">
        <f t="shared" si="7"/>
        <v>0</v>
      </c>
      <c r="P15" s="65">
        <v>17.5</v>
      </c>
      <c r="Q15" s="66">
        <v>18</v>
      </c>
      <c r="R15" s="50"/>
      <c r="S15" s="71">
        <f t="shared" si="8"/>
        <v>35.5</v>
      </c>
      <c r="T15" s="67">
        <v>24</v>
      </c>
      <c r="U15" s="51">
        <f t="shared" si="9"/>
        <v>11.9</v>
      </c>
      <c r="V15" s="73">
        <f t="shared" si="10"/>
        <v>23.8</v>
      </c>
      <c r="W15" s="22" t="str">
        <f t="shared" si="11"/>
        <v>متوسط</v>
      </c>
      <c r="X15" s="90">
        <f t="shared" si="20"/>
        <v>0</v>
      </c>
      <c r="Y15" s="90">
        <f t="shared" si="12"/>
        <v>0</v>
      </c>
      <c r="Z15" s="90">
        <f t="shared" si="12"/>
        <v>0</v>
      </c>
      <c r="AA15" s="90">
        <f t="shared" si="21"/>
        <v>0</v>
      </c>
      <c r="AB15" s="65">
        <v>17.5</v>
      </c>
      <c r="AC15" s="66">
        <v>18</v>
      </c>
      <c r="AD15" s="50"/>
      <c r="AE15" s="71">
        <f t="shared" si="13"/>
        <v>35.5</v>
      </c>
      <c r="AF15" s="67">
        <v>24</v>
      </c>
      <c r="AG15" s="51">
        <f t="shared" si="14"/>
        <v>11.9</v>
      </c>
      <c r="AH15" s="73">
        <f t="shared" si="15"/>
        <v>23.8</v>
      </c>
      <c r="AI15" s="19" t="str">
        <f t="shared" si="16"/>
        <v>متوسط</v>
      </c>
      <c r="AJ15" s="80">
        <f t="shared" si="17"/>
        <v>11.9</v>
      </c>
      <c r="AK15" s="22" t="str">
        <f t="shared" si="18"/>
        <v>متوسط</v>
      </c>
      <c r="AL15" s="90">
        <f t="shared" si="22"/>
        <v>0</v>
      </c>
      <c r="AM15" s="90">
        <f t="shared" si="19"/>
        <v>0</v>
      </c>
      <c r="AN15" s="90">
        <f t="shared" si="19"/>
        <v>0</v>
      </c>
      <c r="AO15" s="90">
        <f t="shared" si="23"/>
        <v>0</v>
      </c>
    </row>
    <row spans="1:41" r="16" thickBot="1" ht="18.75">
      <c r="A16" s="2">
        <v>9</v>
      </c>
      <c r="B16" s="83"/>
      <c r="C16" s="44"/>
      <c r="D16" s="65">
        <v>12</v>
      </c>
      <c r="E16" s="66">
        <v>10</v>
      </c>
      <c r="F16" s="50"/>
      <c r="G16" s="96">
        <f t="shared" si="0"/>
        <v>22</v>
      </c>
      <c r="H16" s="67">
        <v>18</v>
      </c>
      <c r="I16" s="98">
        <f t="shared" si="1"/>
        <v>8</v>
      </c>
      <c r="J16" s="101">
        <f t="shared" si="2"/>
        <v>16</v>
      </c>
      <c r="K16" s="102" t="str">
        <f t="shared" si="3"/>
        <v>ضعيف جـدا</v>
      </c>
      <c r="L16" s="91">
        <f t="shared" si="4"/>
        <v>0</v>
      </c>
      <c r="M16" s="91">
        <f t="shared" si="5"/>
        <v>0</v>
      </c>
      <c r="N16" s="91">
        <f t="shared" si="6"/>
        <v>0</v>
      </c>
      <c r="O16" s="91">
        <f t="shared" si="7"/>
        <v>0</v>
      </c>
      <c r="P16" s="65">
        <v>12</v>
      </c>
      <c r="Q16" s="66">
        <v>10</v>
      </c>
      <c r="R16" s="50"/>
      <c r="S16" s="71">
        <f t="shared" si="8"/>
        <v>22</v>
      </c>
      <c r="T16" s="67">
        <v>18</v>
      </c>
      <c r="U16" s="51">
        <f t="shared" si="9"/>
        <v>8</v>
      </c>
      <c r="V16" s="73">
        <f t="shared" si="10"/>
        <v>16</v>
      </c>
      <c r="W16" s="22" t="str">
        <f t="shared" si="11"/>
        <v>ضعيف جـدا</v>
      </c>
      <c r="X16" s="90">
        <f t="shared" si="20"/>
        <v>0</v>
      </c>
      <c r="Y16" s="90">
        <f t="shared" si="12"/>
        <v>0</v>
      </c>
      <c r="Z16" s="90">
        <f t="shared" si="12"/>
        <v>0</v>
      </c>
      <c r="AA16" s="90">
        <f t="shared" si="21"/>
        <v>0</v>
      </c>
      <c r="AB16" s="65">
        <v>12</v>
      </c>
      <c r="AC16" s="66">
        <v>10</v>
      </c>
      <c r="AD16" s="50"/>
      <c r="AE16" s="71">
        <f t="shared" si="13"/>
        <v>22</v>
      </c>
      <c r="AF16" s="67">
        <v>18</v>
      </c>
      <c r="AG16" s="51">
        <f t="shared" si="14"/>
        <v>8</v>
      </c>
      <c r="AH16" s="73">
        <f t="shared" si="15"/>
        <v>16</v>
      </c>
      <c r="AI16" s="19" t="str">
        <f t="shared" si="16"/>
        <v>ضعيف جـدا</v>
      </c>
      <c r="AJ16" s="80">
        <f t="shared" si="17"/>
        <v>8</v>
      </c>
      <c r="AK16" s="22" t="str">
        <f t="shared" si="18"/>
        <v>ضعيف جـدا</v>
      </c>
      <c r="AL16" s="90">
        <f t="shared" si="22"/>
        <v>0</v>
      </c>
      <c r="AM16" s="90">
        <f t="shared" si="19"/>
        <v>0</v>
      </c>
      <c r="AN16" s="90">
        <f t="shared" si="19"/>
        <v>0</v>
      </c>
      <c r="AO16" s="90">
        <f t="shared" si="23"/>
        <v>0</v>
      </c>
    </row>
    <row spans="1:41" r="17" thickBot="1" ht="18.75">
      <c r="A17" s="2">
        <v>10</v>
      </c>
      <c r="B17" s="83"/>
      <c r="C17" s="44"/>
      <c r="D17" s="65">
        <v>17.5</v>
      </c>
      <c r="E17" s="66">
        <v>17</v>
      </c>
      <c r="F17" s="50"/>
      <c r="G17" s="96">
        <f t="shared" si="0"/>
        <v>34.5</v>
      </c>
      <c r="H17" s="67">
        <v>36</v>
      </c>
      <c r="I17" s="98">
        <f t="shared" si="1"/>
        <v>14.1</v>
      </c>
      <c r="J17" s="101">
        <f t="shared" si="2"/>
        <v>28.2</v>
      </c>
      <c r="K17" s="102" t="str">
        <f t="shared" si="3"/>
        <v>جيـد جـدا</v>
      </c>
      <c r="L17" s="91">
        <f t="shared" si="4"/>
        <v>0</v>
      </c>
      <c r="M17" s="91">
        <f t="shared" si="5"/>
        <v>0</v>
      </c>
      <c r="N17" s="91">
        <f t="shared" si="6"/>
        <v>0</v>
      </c>
      <c r="O17" s="91">
        <f t="shared" si="7"/>
        <v>0</v>
      </c>
      <c r="P17" s="65">
        <v>17.5</v>
      </c>
      <c r="Q17" s="66">
        <v>17</v>
      </c>
      <c r="R17" s="50"/>
      <c r="S17" s="71">
        <f t="shared" si="8"/>
        <v>34.5</v>
      </c>
      <c r="T17" s="67">
        <v>36</v>
      </c>
      <c r="U17" s="51">
        <f t="shared" si="9"/>
        <v>14.1</v>
      </c>
      <c r="V17" s="73">
        <f t="shared" si="10"/>
        <v>28.2</v>
      </c>
      <c r="W17" s="22" t="str">
        <f t="shared" si="11"/>
        <v>جيـد جـدا</v>
      </c>
      <c r="X17" s="90">
        <f t="shared" si="20"/>
        <v>0</v>
      </c>
      <c r="Y17" s="90">
        <f t="shared" si="12"/>
        <v>0</v>
      </c>
      <c r="Z17" s="90">
        <f t="shared" si="12"/>
        <v>0</v>
      </c>
      <c r="AA17" s="90">
        <f t="shared" si="21"/>
        <v>0</v>
      </c>
      <c r="AB17" s="65">
        <v>17.5</v>
      </c>
      <c r="AC17" s="66">
        <v>17</v>
      </c>
      <c r="AD17" s="50"/>
      <c r="AE17" s="71">
        <f t="shared" si="13"/>
        <v>34.5</v>
      </c>
      <c r="AF17" s="67">
        <v>36</v>
      </c>
      <c r="AG17" s="51">
        <f t="shared" si="14"/>
        <v>14.1</v>
      </c>
      <c r="AH17" s="73">
        <f t="shared" si="15"/>
        <v>28.2</v>
      </c>
      <c r="AI17" s="19" t="str">
        <f t="shared" si="16"/>
        <v>جيـد جـدا</v>
      </c>
      <c r="AJ17" s="80">
        <f t="shared" si="17"/>
        <v>14.1</v>
      </c>
      <c r="AK17" s="22" t="str">
        <f t="shared" si="18"/>
        <v>جيـد جـدا</v>
      </c>
      <c r="AL17" s="90">
        <f t="shared" si="22"/>
        <v>0</v>
      </c>
      <c r="AM17" s="90">
        <f t="shared" si="19"/>
        <v>0</v>
      </c>
      <c r="AN17" s="90">
        <f t="shared" si="19"/>
        <v>0</v>
      </c>
      <c r="AO17" s="90">
        <f t="shared" si="23"/>
        <v>0</v>
      </c>
    </row>
    <row spans="1:41" r="18" thickBot="1" ht="18.75">
      <c r="A18" s="2">
        <v>11</v>
      </c>
      <c r="B18" s="83"/>
      <c r="C18" s="44"/>
      <c r="D18" s="65">
        <v>13.5</v>
      </c>
      <c r="E18" s="66">
        <v>17</v>
      </c>
      <c r="F18" s="50"/>
      <c r="G18" s="96">
        <f t="shared" si="0"/>
        <v>30.5</v>
      </c>
      <c r="H18" s="67">
        <v>21</v>
      </c>
      <c r="I18" s="98">
        <f t="shared" si="1"/>
        <v>10.3</v>
      </c>
      <c r="J18" s="101">
        <f t="shared" si="2"/>
        <v>20.6</v>
      </c>
      <c r="K18" s="102" t="str">
        <f t="shared" si="3"/>
        <v>متوسط</v>
      </c>
      <c r="L18" s="91">
        <f t="shared" si="4"/>
        <v>0</v>
      </c>
      <c r="M18" s="91">
        <f t="shared" si="5"/>
        <v>0</v>
      </c>
      <c r="N18" s="91">
        <f t="shared" si="6"/>
        <v>0</v>
      </c>
      <c r="O18" s="91">
        <f t="shared" si="7"/>
        <v>0</v>
      </c>
      <c r="P18" s="65">
        <v>13.5</v>
      </c>
      <c r="Q18" s="66">
        <v>17</v>
      </c>
      <c r="R18" s="50"/>
      <c r="S18" s="71">
        <f t="shared" si="8"/>
        <v>30.5</v>
      </c>
      <c r="T18" s="67">
        <v>21</v>
      </c>
      <c r="U18" s="51">
        <f t="shared" si="9"/>
        <v>10.3</v>
      </c>
      <c r="V18" s="73">
        <f t="shared" si="10"/>
        <v>20.6</v>
      </c>
      <c r="W18" s="22" t="str">
        <f t="shared" si="11"/>
        <v>متوسط</v>
      </c>
      <c r="X18" s="90">
        <f t="shared" si="20"/>
        <v>0</v>
      </c>
      <c r="Y18" s="90">
        <f t="shared" si="12"/>
        <v>0</v>
      </c>
      <c r="Z18" s="90">
        <f t="shared" si="12"/>
        <v>0</v>
      </c>
      <c r="AA18" s="90">
        <f t="shared" si="21"/>
        <v>0</v>
      </c>
      <c r="AB18" s="65">
        <v>13.5</v>
      </c>
      <c r="AC18" s="66">
        <v>17</v>
      </c>
      <c r="AD18" s="50"/>
      <c r="AE18" s="71">
        <f t="shared" si="13"/>
        <v>30.5</v>
      </c>
      <c r="AF18" s="67">
        <v>21</v>
      </c>
      <c r="AG18" s="51">
        <f t="shared" si="14"/>
        <v>10.3</v>
      </c>
      <c r="AH18" s="73">
        <f t="shared" si="15"/>
        <v>20.6</v>
      </c>
      <c r="AI18" s="19" t="str">
        <f t="shared" si="16"/>
        <v>متوسط</v>
      </c>
      <c r="AJ18" s="80">
        <f t="shared" si="17"/>
        <v>10.3</v>
      </c>
      <c r="AK18" s="22" t="str">
        <f t="shared" si="18"/>
        <v>متوسط</v>
      </c>
      <c r="AL18" s="90">
        <f t="shared" si="22"/>
        <v>0</v>
      </c>
      <c r="AM18" s="90">
        <f t="shared" si="19"/>
        <v>0</v>
      </c>
      <c r="AN18" s="90">
        <f t="shared" si="19"/>
        <v>0</v>
      </c>
      <c r="AO18" s="90">
        <f t="shared" si="23"/>
        <v>0</v>
      </c>
    </row>
    <row spans="1:41" r="19" thickBot="1" ht="18.75">
      <c r="A19" s="2">
        <v>12</v>
      </c>
      <c r="B19" s="83"/>
      <c r="C19" s="44"/>
      <c r="D19" s="65">
        <v>17.5</v>
      </c>
      <c r="E19" s="66">
        <v>17</v>
      </c>
      <c r="F19" s="50"/>
      <c r="G19" s="96">
        <f t="shared" si="0"/>
        <v>34.5</v>
      </c>
      <c r="H19" s="67">
        <v>36</v>
      </c>
      <c r="I19" s="98">
        <f t="shared" si="1"/>
        <v>14.1</v>
      </c>
      <c r="J19" s="101">
        <f t="shared" si="2"/>
        <v>28.2</v>
      </c>
      <c r="K19" s="102" t="str">
        <f t="shared" si="3"/>
        <v>جيـد جـدا</v>
      </c>
      <c r="L19" s="91">
        <f t="shared" si="4"/>
        <v>0</v>
      </c>
      <c r="M19" s="91">
        <f t="shared" si="5"/>
        <v>0</v>
      </c>
      <c r="N19" s="91">
        <f t="shared" si="6"/>
        <v>0</v>
      </c>
      <c r="O19" s="91">
        <f t="shared" si="7"/>
        <v>0</v>
      </c>
      <c r="P19" s="65">
        <v>17.5</v>
      </c>
      <c r="Q19" s="66">
        <v>17</v>
      </c>
      <c r="R19" s="50"/>
      <c r="S19" s="71">
        <f t="shared" si="8"/>
        <v>34.5</v>
      </c>
      <c r="T19" s="67">
        <v>36</v>
      </c>
      <c r="U19" s="51">
        <f t="shared" si="9"/>
        <v>14.1</v>
      </c>
      <c r="V19" s="73">
        <f t="shared" si="10"/>
        <v>28.2</v>
      </c>
      <c r="W19" s="22" t="str">
        <f t="shared" si="11"/>
        <v>جيـد جـدا</v>
      </c>
      <c r="X19" s="90">
        <f t="shared" si="20"/>
        <v>0</v>
      </c>
      <c r="Y19" s="90">
        <f t="shared" si="12"/>
        <v>0</v>
      </c>
      <c r="Z19" s="90">
        <f t="shared" si="12"/>
        <v>0</v>
      </c>
      <c r="AA19" s="90">
        <f t="shared" si="21"/>
        <v>0</v>
      </c>
      <c r="AB19" s="65">
        <v>17.5</v>
      </c>
      <c r="AC19" s="66">
        <v>17</v>
      </c>
      <c r="AD19" s="50"/>
      <c r="AE19" s="71">
        <f t="shared" si="13"/>
        <v>34.5</v>
      </c>
      <c r="AF19" s="67">
        <v>36</v>
      </c>
      <c r="AG19" s="51">
        <f t="shared" si="14"/>
        <v>14.1</v>
      </c>
      <c r="AH19" s="73">
        <f t="shared" si="15"/>
        <v>28.2</v>
      </c>
      <c r="AI19" s="19" t="str">
        <f t="shared" si="16"/>
        <v>جيـد جـدا</v>
      </c>
      <c r="AJ19" s="80">
        <f t="shared" si="17"/>
        <v>14.1</v>
      </c>
      <c r="AK19" s="22" t="str">
        <f t="shared" si="18"/>
        <v>جيـد جـدا</v>
      </c>
      <c r="AL19" s="90">
        <f t="shared" si="22"/>
        <v>0</v>
      </c>
      <c r="AM19" s="90">
        <f t="shared" si="19"/>
        <v>0</v>
      </c>
      <c r="AN19" s="90">
        <f t="shared" si="19"/>
        <v>0</v>
      </c>
      <c r="AO19" s="90">
        <f t="shared" si="23"/>
        <v>0</v>
      </c>
    </row>
    <row spans="1:41" r="20" customHeight="1" thickBot="1" ht="16.5">
      <c r="A20" s="2">
        <v>13</v>
      </c>
      <c r="B20" s="83"/>
      <c r="C20" s="44"/>
      <c r="D20" s="65">
        <v>18.5</v>
      </c>
      <c r="E20" s="66">
        <v>20</v>
      </c>
      <c r="F20" s="50"/>
      <c r="G20" s="96">
        <f t="shared" si="0"/>
        <v>38.5</v>
      </c>
      <c r="H20" s="67">
        <v>36</v>
      </c>
      <c r="I20" s="98">
        <f t="shared" si="1"/>
        <v>14.9</v>
      </c>
      <c r="J20" s="101">
        <f t="shared" si="2"/>
        <v>29.8</v>
      </c>
      <c r="K20" s="102" t="str">
        <f t="shared" si="3"/>
        <v>جيـد جـدا</v>
      </c>
      <c r="L20" s="91">
        <f t="shared" si="4"/>
        <v>0</v>
      </c>
      <c r="M20" s="91">
        <f t="shared" si="5"/>
        <v>0</v>
      </c>
      <c r="N20" s="91">
        <f t="shared" si="6"/>
        <v>0</v>
      </c>
      <c r="O20" s="91">
        <f t="shared" si="7"/>
        <v>0</v>
      </c>
      <c r="P20" s="65">
        <v>18.5</v>
      </c>
      <c r="Q20" s="66">
        <v>20</v>
      </c>
      <c r="R20" s="50"/>
      <c r="S20" s="71">
        <f t="shared" si="8"/>
        <v>38.5</v>
      </c>
      <c r="T20" s="67">
        <v>36</v>
      </c>
      <c r="U20" s="51">
        <f t="shared" si="9"/>
        <v>14.9</v>
      </c>
      <c r="V20" s="73">
        <f t="shared" si="10"/>
        <v>29.8</v>
      </c>
      <c r="W20" s="22" t="str">
        <f t="shared" si="11"/>
        <v>جيـد جـدا</v>
      </c>
      <c r="X20" s="90">
        <f t="shared" si="20"/>
        <v>0</v>
      </c>
      <c r="Y20" s="90">
        <f t="shared" si="12"/>
        <v>0</v>
      </c>
      <c r="Z20" s="90">
        <f t="shared" si="12"/>
        <v>0</v>
      </c>
      <c r="AA20" s="90">
        <f t="shared" si="21"/>
        <v>0</v>
      </c>
      <c r="AB20" s="65">
        <v>18.5</v>
      </c>
      <c r="AC20" s="66">
        <v>20</v>
      </c>
      <c r="AD20" s="50"/>
      <c r="AE20" s="71">
        <f t="shared" si="13"/>
        <v>38.5</v>
      </c>
      <c r="AF20" s="67">
        <v>36</v>
      </c>
      <c r="AG20" s="51">
        <f t="shared" si="14"/>
        <v>14.9</v>
      </c>
      <c r="AH20" s="73">
        <f t="shared" si="15"/>
        <v>29.8</v>
      </c>
      <c r="AI20" s="19" t="str">
        <f t="shared" si="16"/>
        <v>جيـد جـدا</v>
      </c>
      <c r="AJ20" s="80">
        <f t="shared" si="17"/>
        <v>14.9</v>
      </c>
      <c r="AK20" s="22" t="str">
        <f t="shared" si="18"/>
        <v>جيـد جـدا</v>
      </c>
      <c r="AL20" s="90">
        <f t="shared" si="22"/>
        <v>0</v>
      </c>
      <c r="AM20" s="90">
        <f t="shared" si="19"/>
        <v>0</v>
      </c>
      <c r="AN20" s="90">
        <f t="shared" si="19"/>
        <v>0</v>
      </c>
      <c r="AO20" s="90">
        <f t="shared" si="23"/>
        <v>0</v>
      </c>
    </row>
    <row spans="1:41" r="21" thickBot="1" ht="18.75">
      <c r="A21" s="2">
        <v>14</v>
      </c>
      <c r="B21" s="83"/>
      <c r="C21" s="44"/>
      <c r="D21" s="65">
        <v>15.5</v>
      </c>
      <c r="E21" s="66">
        <v>19</v>
      </c>
      <c r="F21" s="50"/>
      <c r="G21" s="96">
        <f t="shared" si="0"/>
        <v>34.5</v>
      </c>
      <c r="H21" s="67">
        <v>25.5</v>
      </c>
      <c r="I21" s="98">
        <f t="shared" si="1"/>
        <v>12</v>
      </c>
      <c r="J21" s="101">
        <f t="shared" si="2"/>
        <v>24</v>
      </c>
      <c r="K21" s="102" t="str">
        <f t="shared" si="3"/>
        <v>جيـد</v>
      </c>
      <c r="L21" s="91">
        <f t="shared" si="4"/>
        <v>0</v>
      </c>
      <c r="M21" s="91">
        <f t="shared" si="5"/>
        <v>0</v>
      </c>
      <c r="N21" s="91">
        <f t="shared" si="6"/>
        <v>0</v>
      </c>
      <c r="O21" s="91">
        <f t="shared" si="7"/>
        <v>0</v>
      </c>
      <c r="P21" s="65">
        <v>15.5</v>
      </c>
      <c r="Q21" s="66">
        <v>19</v>
      </c>
      <c r="R21" s="50"/>
      <c r="S21" s="71">
        <f t="shared" si="8"/>
        <v>34.5</v>
      </c>
      <c r="T21" s="67">
        <v>25.5</v>
      </c>
      <c r="U21" s="51">
        <f t="shared" si="9"/>
        <v>12</v>
      </c>
      <c r="V21" s="73">
        <f t="shared" si="10"/>
        <v>24</v>
      </c>
      <c r="W21" s="22" t="str">
        <f t="shared" si="11"/>
        <v>جيـد</v>
      </c>
      <c r="X21" s="90">
        <f t="shared" si="20"/>
        <v>0</v>
      </c>
      <c r="Y21" s="90">
        <f t="shared" si="12"/>
        <v>0</v>
      </c>
      <c r="Z21" s="90">
        <f t="shared" si="12"/>
        <v>0</v>
      </c>
      <c r="AA21" s="90">
        <f t="shared" si="21"/>
        <v>0</v>
      </c>
      <c r="AB21" s="65">
        <v>15.5</v>
      </c>
      <c r="AC21" s="66">
        <v>19</v>
      </c>
      <c r="AD21" s="50"/>
      <c r="AE21" s="71">
        <f t="shared" si="13"/>
        <v>34.5</v>
      </c>
      <c r="AF21" s="67">
        <v>25.5</v>
      </c>
      <c r="AG21" s="51">
        <f t="shared" si="14"/>
        <v>12</v>
      </c>
      <c r="AH21" s="73">
        <f t="shared" si="15"/>
        <v>24</v>
      </c>
      <c r="AI21" s="19" t="str">
        <f t="shared" si="16"/>
        <v>جيـد</v>
      </c>
      <c r="AJ21" s="80">
        <f t="shared" si="17"/>
        <v>12</v>
      </c>
      <c r="AK21" s="22" t="str">
        <f t="shared" si="18"/>
        <v>جيـد</v>
      </c>
      <c r="AL21" s="90">
        <f t="shared" si="22"/>
        <v>0</v>
      </c>
      <c r="AM21" s="90">
        <f t="shared" si="19"/>
        <v>0</v>
      </c>
      <c r="AN21" s="90">
        <f t="shared" si="19"/>
        <v>0</v>
      </c>
      <c r="AO21" s="90">
        <f t="shared" si="23"/>
        <v>0</v>
      </c>
    </row>
    <row spans="1:41" r="22" thickBot="1" ht="18.75">
      <c r="A22" s="2">
        <v>15</v>
      </c>
      <c r="B22" s="83"/>
      <c r="C22" s="44"/>
      <c r="D22" s="65">
        <v>16</v>
      </c>
      <c r="E22" s="66">
        <v>11</v>
      </c>
      <c r="F22" s="50"/>
      <c r="G22" s="96">
        <f t="shared" si="0"/>
        <v>27</v>
      </c>
      <c r="H22" s="67">
        <v>36</v>
      </c>
      <c r="I22" s="98">
        <f t="shared" si="1"/>
        <v>12.6</v>
      </c>
      <c r="J22" s="101">
        <f t="shared" si="2"/>
        <v>25.2</v>
      </c>
      <c r="K22" s="102" t="str">
        <f t="shared" si="3"/>
        <v>جيـد</v>
      </c>
      <c r="L22" s="91">
        <f t="shared" si="4"/>
        <v>0</v>
      </c>
      <c r="M22" s="91">
        <f t="shared" si="5"/>
        <v>0</v>
      </c>
      <c r="N22" s="91">
        <f t="shared" si="6"/>
        <v>0</v>
      </c>
      <c r="O22" s="91">
        <f t="shared" si="7"/>
        <v>0</v>
      </c>
      <c r="P22" s="65">
        <v>16</v>
      </c>
      <c r="Q22" s="66">
        <v>11</v>
      </c>
      <c r="R22" s="50"/>
      <c r="S22" s="71">
        <f t="shared" si="8"/>
        <v>27</v>
      </c>
      <c r="T22" s="67">
        <v>36</v>
      </c>
      <c r="U22" s="51">
        <f t="shared" si="9"/>
        <v>12.6</v>
      </c>
      <c r="V22" s="73">
        <f t="shared" si="10"/>
        <v>25.2</v>
      </c>
      <c r="W22" s="22" t="str">
        <f t="shared" si="11"/>
        <v>جيـد</v>
      </c>
      <c r="X22" s="90">
        <f t="shared" si="20"/>
        <v>0</v>
      </c>
      <c r="Y22" s="90">
        <f t="shared" si="12"/>
        <v>0</v>
      </c>
      <c r="Z22" s="90">
        <f t="shared" si="12"/>
        <v>0</v>
      </c>
      <c r="AA22" s="90">
        <f t="shared" si="21"/>
        <v>0</v>
      </c>
      <c r="AB22" s="65">
        <v>16</v>
      </c>
      <c r="AC22" s="66">
        <v>11</v>
      </c>
      <c r="AD22" s="50"/>
      <c r="AE22" s="71">
        <f t="shared" si="13"/>
        <v>27</v>
      </c>
      <c r="AF22" s="67">
        <v>36</v>
      </c>
      <c r="AG22" s="51">
        <f t="shared" si="14"/>
        <v>12.6</v>
      </c>
      <c r="AH22" s="73">
        <f t="shared" si="15"/>
        <v>25.2</v>
      </c>
      <c r="AI22" s="19" t="str">
        <f t="shared" si="16"/>
        <v>جيـد</v>
      </c>
      <c r="AJ22" s="80">
        <f t="shared" si="17"/>
        <v>12.6</v>
      </c>
      <c r="AK22" s="22" t="str">
        <f t="shared" si="18"/>
        <v>جيـد</v>
      </c>
      <c r="AL22" s="90">
        <f t="shared" si="22"/>
        <v>0</v>
      </c>
      <c r="AM22" s="90">
        <f t="shared" si="19"/>
        <v>0</v>
      </c>
      <c r="AN22" s="90">
        <f t="shared" si="19"/>
        <v>0</v>
      </c>
      <c r="AO22" s="90">
        <f t="shared" si="23"/>
        <v>0</v>
      </c>
    </row>
    <row spans="1:41" r="23" thickBot="1" ht="18.75">
      <c r="A23" s="2">
        <v>16</v>
      </c>
      <c r="B23" s="83"/>
      <c r="C23" s="44"/>
      <c r="D23" s="65">
        <v>14</v>
      </c>
      <c r="E23" s="66">
        <v>16</v>
      </c>
      <c r="F23" s="50"/>
      <c r="G23" s="96">
        <f t="shared" si="0"/>
        <v>30</v>
      </c>
      <c r="H23" s="67">
        <v>24</v>
      </c>
      <c r="I23" s="98">
        <f t="shared" si="1"/>
        <v>10.8</v>
      </c>
      <c r="J23" s="101">
        <f t="shared" si="2"/>
        <v>21.6</v>
      </c>
      <c r="K23" s="102" t="str">
        <f t="shared" si="3"/>
        <v>متوسط</v>
      </c>
      <c r="L23" s="91">
        <f t="shared" si="4"/>
        <v>0</v>
      </c>
      <c r="M23" s="91">
        <f t="shared" si="5"/>
        <v>0</v>
      </c>
      <c r="N23" s="91">
        <f t="shared" si="6"/>
        <v>0</v>
      </c>
      <c r="O23" s="91">
        <f t="shared" si="7"/>
        <v>0</v>
      </c>
      <c r="P23" s="65">
        <v>14</v>
      </c>
      <c r="Q23" s="66">
        <v>16</v>
      </c>
      <c r="R23" s="50"/>
      <c r="S23" s="71">
        <f t="shared" si="8"/>
        <v>30</v>
      </c>
      <c r="T23" s="67">
        <v>24</v>
      </c>
      <c r="U23" s="51">
        <f t="shared" si="9"/>
        <v>10.8</v>
      </c>
      <c r="V23" s="73">
        <f t="shared" si="10"/>
        <v>21.6</v>
      </c>
      <c r="W23" s="22" t="str">
        <f t="shared" si="11"/>
        <v>متوسط</v>
      </c>
      <c r="X23" s="90">
        <f t="shared" si="20"/>
        <v>0</v>
      </c>
      <c r="Y23" s="90">
        <f t="shared" si="12"/>
        <v>0</v>
      </c>
      <c r="Z23" s="90">
        <f t="shared" si="12"/>
        <v>0</v>
      </c>
      <c r="AA23" s="90">
        <f t="shared" si="21"/>
        <v>0</v>
      </c>
      <c r="AB23" s="65">
        <v>14</v>
      </c>
      <c r="AC23" s="66">
        <v>16</v>
      </c>
      <c r="AD23" s="50"/>
      <c r="AE23" s="71">
        <f t="shared" si="13"/>
        <v>30</v>
      </c>
      <c r="AF23" s="67">
        <v>24</v>
      </c>
      <c r="AG23" s="51">
        <f t="shared" si="14"/>
        <v>10.8</v>
      </c>
      <c r="AH23" s="73">
        <f t="shared" si="15"/>
        <v>21.6</v>
      </c>
      <c r="AI23" s="19" t="str">
        <f t="shared" si="16"/>
        <v>متوسط</v>
      </c>
      <c r="AJ23" s="80">
        <f t="shared" si="17"/>
        <v>10.800000000000002</v>
      </c>
      <c r="AK23" s="22" t="str">
        <f t="shared" si="18"/>
        <v>متوسط</v>
      </c>
      <c r="AL23" s="90">
        <f t="shared" si="22"/>
        <v>0</v>
      </c>
      <c r="AM23" s="90">
        <f t="shared" si="19"/>
        <v>0</v>
      </c>
      <c r="AN23" s="90">
        <f t="shared" si="19"/>
        <v>0</v>
      </c>
      <c r="AO23" s="90">
        <f t="shared" si="23"/>
        <v>0</v>
      </c>
    </row>
    <row spans="1:41" r="24" thickBot="1" ht="18.75">
      <c r="A24" s="2">
        <v>17</v>
      </c>
      <c r="B24" s="83"/>
      <c r="C24" s="44"/>
      <c r="D24" s="65">
        <v>18.5</v>
      </c>
      <c r="E24" s="66">
        <v>20</v>
      </c>
      <c r="F24" s="50"/>
      <c r="G24" s="96">
        <f t="shared" si="0"/>
        <v>38.5</v>
      </c>
      <c r="H24" s="67">
        <v>39</v>
      </c>
      <c r="I24" s="98">
        <f t="shared" si="1"/>
        <v>15.5</v>
      </c>
      <c r="J24" s="101">
        <f t="shared" si="2"/>
        <v>31</v>
      </c>
      <c r="K24" s="102" t="str">
        <f t="shared" si="3"/>
        <v>جيـد جـدا</v>
      </c>
      <c r="L24" s="91">
        <f t="shared" si="4"/>
        <v>0</v>
      </c>
      <c r="M24" s="91">
        <f t="shared" si="5"/>
        <v>0</v>
      </c>
      <c r="N24" s="91">
        <f t="shared" si="6"/>
        <v>0</v>
      </c>
      <c r="O24" s="91">
        <f t="shared" si="7"/>
        <v>0</v>
      </c>
      <c r="P24" s="65">
        <v>18.5</v>
      </c>
      <c r="Q24" s="66">
        <v>20</v>
      </c>
      <c r="R24" s="50"/>
      <c r="S24" s="71">
        <f t="shared" si="8"/>
        <v>38.5</v>
      </c>
      <c r="T24" s="67">
        <v>39</v>
      </c>
      <c r="U24" s="51">
        <f t="shared" si="9"/>
        <v>15.5</v>
      </c>
      <c r="V24" s="73">
        <f t="shared" si="10"/>
        <v>31</v>
      </c>
      <c r="W24" s="22" t="str">
        <f t="shared" si="11"/>
        <v>جيـد جـدا</v>
      </c>
      <c r="X24" s="90">
        <f t="shared" si="20"/>
        <v>0</v>
      </c>
      <c r="Y24" s="90">
        <f t="shared" si="12"/>
        <v>0</v>
      </c>
      <c r="Z24" s="90">
        <f t="shared" si="12"/>
        <v>0</v>
      </c>
      <c r="AA24" s="90">
        <f t="shared" si="21"/>
        <v>0</v>
      </c>
      <c r="AB24" s="65">
        <v>18.5</v>
      </c>
      <c r="AC24" s="66">
        <v>20</v>
      </c>
      <c r="AD24" s="50"/>
      <c r="AE24" s="71">
        <f t="shared" si="13"/>
        <v>38.5</v>
      </c>
      <c r="AF24" s="67">
        <v>39</v>
      </c>
      <c r="AG24" s="51">
        <f t="shared" si="14"/>
        <v>15.5</v>
      </c>
      <c r="AH24" s="73">
        <f t="shared" si="15"/>
        <v>31</v>
      </c>
      <c r="AI24" s="19" t="str">
        <f t="shared" si="16"/>
        <v>جيـد جـدا</v>
      </c>
      <c r="AJ24" s="80">
        <f t="shared" si="17"/>
        <v>15.5</v>
      </c>
      <c r="AK24" s="22" t="str">
        <f t="shared" si="18"/>
        <v>جيـد جـدا</v>
      </c>
      <c r="AL24" s="90">
        <f t="shared" si="22"/>
        <v>0</v>
      </c>
      <c r="AM24" s="90">
        <f t="shared" si="19"/>
        <v>0</v>
      </c>
      <c r="AN24" s="90">
        <f t="shared" si="19"/>
        <v>0</v>
      </c>
      <c r="AO24" s="90">
        <f t="shared" si="23"/>
        <v>0</v>
      </c>
    </row>
    <row spans="1:41" r="25" thickBot="1" ht="18.75">
      <c r="A25" s="2">
        <v>18</v>
      </c>
      <c r="B25" s="83"/>
      <c r="C25" s="44"/>
      <c r="D25" s="65">
        <v>16</v>
      </c>
      <c r="E25" s="66">
        <v>15</v>
      </c>
      <c r="F25" s="50"/>
      <c r="G25" s="96">
        <f t="shared" si="0"/>
        <v>31</v>
      </c>
      <c r="H25" s="67">
        <v>33</v>
      </c>
      <c r="I25" s="98">
        <f t="shared" si="1"/>
        <v>12.8</v>
      </c>
      <c r="J25" s="101">
        <f t="shared" si="2"/>
        <v>25.6</v>
      </c>
      <c r="K25" s="102" t="str">
        <f t="shared" si="3"/>
        <v>جيـد</v>
      </c>
      <c r="L25" s="91">
        <f t="shared" si="4"/>
        <v>0</v>
      </c>
      <c r="M25" s="91">
        <f t="shared" si="5"/>
        <v>0</v>
      </c>
      <c r="N25" s="91">
        <f t="shared" si="6"/>
        <v>0</v>
      </c>
      <c r="O25" s="91">
        <f t="shared" si="7"/>
        <v>0</v>
      </c>
      <c r="P25" s="65">
        <v>16</v>
      </c>
      <c r="Q25" s="66">
        <v>15</v>
      </c>
      <c r="R25" s="50"/>
      <c r="S25" s="71">
        <f t="shared" si="8"/>
        <v>31</v>
      </c>
      <c r="T25" s="67">
        <v>33</v>
      </c>
      <c r="U25" s="51">
        <f t="shared" si="9"/>
        <v>12.8</v>
      </c>
      <c r="V25" s="73">
        <f t="shared" si="10"/>
        <v>25.6</v>
      </c>
      <c r="W25" s="22" t="str">
        <f t="shared" si="11"/>
        <v>جيـد</v>
      </c>
      <c r="X25" s="90">
        <f t="shared" si="20"/>
        <v>0</v>
      </c>
      <c r="Y25" s="90">
        <f t="shared" si="12"/>
        <v>0</v>
      </c>
      <c r="Z25" s="90">
        <f t="shared" si="12"/>
        <v>0</v>
      </c>
      <c r="AA25" s="90">
        <f t="shared" si="21"/>
        <v>0</v>
      </c>
      <c r="AB25" s="65">
        <v>16</v>
      </c>
      <c r="AC25" s="66">
        <v>15</v>
      </c>
      <c r="AD25" s="50"/>
      <c r="AE25" s="71">
        <f t="shared" si="13"/>
        <v>31</v>
      </c>
      <c r="AF25" s="67">
        <v>33</v>
      </c>
      <c r="AG25" s="51">
        <f t="shared" si="14"/>
        <v>12.8</v>
      </c>
      <c r="AH25" s="73">
        <f t="shared" si="15"/>
        <v>25.6</v>
      </c>
      <c r="AI25" s="19" t="str">
        <f t="shared" si="16"/>
        <v>جيـد</v>
      </c>
      <c r="AJ25" s="80">
        <f t="shared" si="17"/>
        <v>12.800000000000002</v>
      </c>
      <c r="AK25" s="22" t="str">
        <f t="shared" si="18"/>
        <v>جيـد</v>
      </c>
      <c r="AL25" s="90">
        <f t="shared" si="22"/>
        <v>0</v>
      </c>
      <c r="AM25" s="90">
        <f t="shared" si="19"/>
        <v>0</v>
      </c>
      <c r="AN25" s="90">
        <f t="shared" si="19"/>
        <v>0</v>
      </c>
      <c r="AO25" s="90">
        <f t="shared" si="23"/>
        <v>0</v>
      </c>
    </row>
    <row spans="1:41" r="26" thickBot="1" ht="18.75">
      <c r="A26" s="2">
        <v>19</v>
      </c>
      <c r="B26" s="84"/>
      <c r="C26" s="45"/>
      <c r="D26" s="65">
        <v>10</v>
      </c>
      <c r="E26" s="66">
        <v>15</v>
      </c>
      <c r="F26" s="50"/>
      <c r="G26" s="96">
        <f t="shared" si="0"/>
        <v>25</v>
      </c>
      <c r="H26" s="67">
        <v>3</v>
      </c>
      <c r="I26" s="98">
        <f t="shared" si="1"/>
        <v>5.6</v>
      </c>
      <c r="J26" s="101">
        <f t="shared" si="2"/>
        <v>11.2</v>
      </c>
      <c r="K26" s="102" t="str">
        <f t="shared" si="3"/>
        <v>ضعيف جـدا</v>
      </c>
      <c r="L26" s="91">
        <f t="shared" si="4"/>
        <v>0</v>
      </c>
      <c r="M26" s="91">
        <f t="shared" si="5"/>
        <v>0</v>
      </c>
      <c r="N26" s="91">
        <f t="shared" si="6"/>
        <v>0</v>
      </c>
      <c r="O26" s="91">
        <f t="shared" si="7"/>
        <v>0</v>
      </c>
      <c r="P26" s="65">
        <v>10</v>
      </c>
      <c r="Q26" s="66">
        <v>15</v>
      </c>
      <c r="R26" s="50"/>
      <c r="S26" s="71">
        <f t="shared" si="8"/>
        <v>25</v>
      </c>
      <c r="T26" s="67">
        <v>3</v>
      </c>
      <c r="U26" s="51">
        <f t="shared" si="9"/>
        <v>5.6</v>
      </c>
      <c r="V26" s="73">
        <f t="shared" si="10"/>
        <v>11.2</v>
      </c>
      <c r="W26" s="22" t="str">
        <f t="shared" si="11"/>
        <v>ضعيف جـدا</v>
      </c>
      <c r="X26" s="90">
        <f t="shared" si="20"/>
        <v>0</v>
      </c>
      <c r="Y26" s="90">
        <f t="shared" si="12"/>
        <v>0</v>
      </c>
      <c r="Z26" s="90">
        <f t="shared" si="12"/>
        <v>0</v>
      </c>
      <c r="AA26" s="90">
        <f t="shared" si="21"/>
        <v>0</v>
      </c>
      <c r="AB26" s="65">
        <v>10</v>
      </c>
      <c r="AC26" s="66">
        <v>15</v>
      </c>
      <c r="AD26" s="50"/>
      <c r="AE26" s="71">
        <f t="shared" si="13"/>
        <v>25</v>
      </c>
      <c r="AF26" s="67">
        <v>3</v>
      </c>
      <c r="AG26" s="51">
        <f t="shared" si="14"/>
        <v>5.6</v>
      </c>
      <c r="AH26" s="73">
        <f t="shared" si="15"/>
        <v>11.2</v>
      </c>
      <c r="AI26" s="19" t="str">
        <f t="shared" si="16"/>
        <v>ضعيف جـدا</v>
      </c>
      <c r="AJ26" s="80">
        <f t="shared" si="17"/>
        <v>5.5999999999999988</v>
      </c>
      <c r="AK26" s="22" t="str">
        <f t="shared" si="18"/>
        <v>ضعيف جـدا</v>
      </c>
      <c r="AL26" s="90">
        <f t="shared" si="22"/>
        <v>0</v>
      </c>
      <c r="AM26" s="90">
        <f t="shared" si="19"/>
        <v>0</v>
      </c>
      <c r="AN26" s="90">
        <f t="shared" si="19"/>
        <v>0</v>
      </c>
      <c r="AO26" s="90">
        <f t="shared" si="23"/>
        <v>0</v>
      </c>
    </row>
    <row spans="1:41" r="27" thickBot="1" ht="18.75">
      <c r="A27" s="2">
        <v>20</v>
      </c>
      <c r="B27" s="83"/>
      <c r="C27" s="44"/>
      <c r="D27" s="65">
        <v>16</v>
      </c>
      <c r="E27" s="66">
        <v>18</v>
      </c>
      <c r="F27" s="50"/>
      <c r="G27" s="96">
        <f t="shared" si="0"/>
        <v>34</v>
      </c>
      <c r="H27" s="67">
        <v>30</v>
      </c>
      <c r="I27" s="98">
        <f t="shared" si="1"/>
        <v>12.8</v>
      </c>
      <c r="J27" s="101">
        <f t="shared" si="2"/>
        <v>25.6</v>
      </c>
      <c r="K27" s="102" t="str">
        <f t="shared" si="3"/>
        <v>جيـد</v>
      </c>
      <c r="L27" s="91">
        <f t="shared" si="4"/>
        <v>0</v>
      </c>
      <c r="M27" s="91">
        <f t="shared" si="5"/>
        <v>0</v>
      </c>
      <c r="N27" s="91">
        <f t="shared" si="6"/>
        <v>0</v>
      </c>
      <c r="O27" s="91">
        <f t="shared" si="7"/>
        <v>0</v>
      </c>
      <c r="P27" s="65">
        <v>16</v>
      </c>
      <c r="Q27" s="66">
        <v>18</v>
      </c>
      <c r="R27" s="50"/>
      <c r="S27" s="71">
        <f t="shared" si="8"/>
        <v>34</v>
      </c>
      <c r="T27" s="67">
        <v>30</v>
      </c>
      <c r="U27" s="51">
        <f t="shared" si="9"/>
        <v>12.8</v>
      </c>
      <c r="V27" s="73">
        <f t="shared" si="10"/>
        <v>25.6</v>
      </c>
      <c r="W27" s="22" t="str">
        <f t="shared" si="11"/>
        <v>جيـد</v>
      </c>
      <c r="X27" s="90">
        <f t="shared" si="20"/>
        <v>0</v>
      </c>
      <c r="Y27" s="90">
        <f t="shared" si="12"/>
        <v>0</v>
      </c>
      <c r="Z27" s="90">
        <f t="shared" si="12"/>
        <v>0</v>
      </c>
      <c r="AA27" s="90">
        <f t="shared" si="21"/>
        <v>0</v>
      </c>
      <c r="AB27" s="65">
        <v>16</v>
      </c>
      <c r="AC27" s="66">
        <v>18</v>
      </c>
      <c r="AD27" s="50"/>
      <c r="AE27" s="71">
        <f t="shared" si="13"/>
        <v>34</v>
      </c>
      <c r="AF27" s="67">
        <v>30</v>
      </c>
      <c r="AG27" s="51">
        <f t="shared" si="14"/>
        <v>12.8</v>
      </c>
      <c r="AH27" s="73">
        <f t="shared" si="15"/>
        <v>25.6</v>
      </c>
      <c r="AI27" s="19" t="str">
        <f t="shared" si="16"/>
        <v>جيـد</v>
      </c>
      <c r="AJ27" s="80">
        <f t="shared" si="17"/>
        <v>12.800000000000002</v>
      </c>
      <c r="AK27" s="22" t="str">
        <f t="shared" si="18"/>
        <v>جيـد</v>
      </c>
      <c r="AL27" s="90">
        <f t="shared" si="22"/>
        <v>0</v>
      </c>
      <c r="AM27" s="90">
        <f t="shared" si="19"/>
        <v>0</v>
      </c>
      <c r="AN27" s="90">
        <f t="shared" si="19"/>
        <v>0</v>
      </c>
      <c r="AO27" s="90">
        <f t="shared" si="23"/>
        <v>0</v>
      </c>
    </row>
    <row spans="1:41" r="28" thickBot="1" ht="18.75">
      <c r="A28" s="2">
        <v>21</v>
      </c>
      <c r="B28" s="83"/>
      <c r="C28" s="44"/>
      <c r="D28" s="65">
        <v>16.5</v>
      </c>
      <c r="E28" s="66">
        <v>17</v>
      </c>
      <c r="F28" s="50"/>
      <c r="G28" s="96">
        <f t="shared" si="0"/>
        <v>33.5</v>
      </c>
      <c r="H28" s="67">
        <v>33</v>
      </c>
      <c r="I28" s="98">
        <f t="shared" si="1"/>
        <v>13.3</v>
      </c>
      <c r="J28" s="101">
        <f t="shared" si="2"/>
        <v>26.6</v>
      </c>
      <c r="K28" s="102" t="str">
        <f t="shared" si="3"/>
        <v>جيـد</v>
      </c>
      <c r="L28" s="91">
        <f t="shared" si="4"/>
        <v>0</v>
      </c>
      <c r="M28" s="91">
        <f t="shared" si="5"/>
        <v>0</v>
      </c>
      <c r="N28" s="91">
        <f t="shared" si="6"/>
        <v>0</v>
      </c>
      <c r="O28" s="91">
        <f t="shared" si="7"/>
        <v>0</v>
      </c>
      <c r="P28" s="65">
        <v>16.5</v>
      </c>
      <c r="Q28" s="66">
        <v>17</v>
      </c>
      <c r="R28" s="50"/>
      <c r="S28" s="71">
        <f t="shared" si="8"/>
        <v>33.5</v>
      </c>
      <c r="T28" s="67">
        <v>33</v>
      </c>
      <c r="U28" s="51">
        <f t="shared" si="9"/>
        <v>13.3</v>
      </c>
      <c r="V28" s="73">
        <f t="shared" si="10"/>
        <v>26.6</v>
      </c>
      <c r="W28" s="22" t="str">
        <f t="shared" si="11"/>
        <v>جيـد</v>
      </c>
      <c r="X28" s="90">
        <f t="shared" si="20"/>
        <v>0</v>
      </c>
      <c r="Y28" s="90">
        <f t="shared" si="12"/>
        <v>0</v>
      </c>
      <c r="Z28" s="90">
        <f t="shared" si="12"/>
        <v>0</v>
      </c>
      <c r="AA28" s="90">
        <f t="shared" si="21"/>
        <v>0</v>
      </c>
      <c r="AB28" s="65">
        <v>16.5</v>
      </c>
      <c r="AC28" s="66">
        <v>17</v>
      </c>
      <c r="AD28" s="50"/>
      <c r="AE28" s="71">
        <f t="shared" si="13"/>
        <v>33.5</v>
      </c>
      <c r="AF28" s="67">
        <v>33</v>
      </c>
      <c r="AG28" s="51">
        <f t="shared" si="14"/>
        <v>13.3</v>
      </c>
      <c r="AH28" s="73">
        <f t="shared" si="15"/>
        <v>26.6</v>
      </c>
      <c r="AI28" s="19" t="str">
        <f t="shared" si="16"/>
        <v>جيـد</v>
      </c>
      <c r="AJ28" s="80">
        <f t="shared" si="17"/>
        <v>13.300000000000002</v>
      </c>
      <c r="AK28" s="22" t="str">
        <f t="shared" si="18"/>
        <v>جيـد</v>
      </c>
      <c r="AL28" s="90">
        <f t="shared" si="22"/>
        <v>0</v>
      </c>
      <c r="AM28" s="90">
        <f t="shared" si="19"/>
        <v>0</v>
      </c>
      <c r="AN28" s="90">
        <f t="shared" si="19"/>
        <v>0</v>
      </c>
      <c r="AO28" s="90">
        <f t="shared" si="23"/>
        <v>0</v>
      </c>
    </row>
    <row spans="1:41" r="29" thickBot="1" ht="18.75">
      <c r="A29" s="2">
        <v>22</v>
      </c>
      <c r="B29" s="83"/>
      <c r="C29" s="44"/>
      <c r="D29" s="65">
        <v>17</v>
      </c>
      <c r="E29" s="66">
        <v>12</v>
      </c>
      <c r="F29" s="50"/>
      <c r="G29" s="96">
        <f t="shared" si="0"/>
        <v>29</v>
      </c>
      <c r="H29" s="67">
        <v>21</v>
      </c>
      <c r="I29" s="98">
        <f t="shared" si="1"/>
        <v>10</v>
      </c>
      <c r="J29" s="101">
        <f t="shared" si="2"/>
        <v>20</v>
      </c>
      <c r="K29" s="102" t="str">
        <f t="shared" si="3"/>
        <v>متوسط</v>
      </c>
      <c r="L29" s="91">
        <f t="shared" si="4"/>
        <v>0</v>
      </c>
      <c r="M29" s="91">
        <f t="shared" si="5"/>
        <v>0</v>
      </c>
      <c r="N29" s="91">
        <f t="shared" si="6"/>
        <v>0</v>
      </c>
      <c r="O29" s="91">
        <f t="shared" si="7"/>
        <v>0</v>
      </c>
      <c r="P29" s="65">
        <v>17</v>
      </c>
      <c r="Q29" s="66">
        <v>12</v>
      </c>
      <c r="R29" s="50"/>
      <c r="S29" s="71">
        <f t="shared" si="8"/>
        <v>29</v>
      </c>
      <c r="T29" s="67">
        <v>21</v>
      </c>
      <c r="U29" s="51">
        <f t="shared" si="9"/>
        <v>10</v>
      </c>
      <c r="V29" s="73">
        <f t="shared" si="10"/>
        <v>20</v>
      </c>
      <c r="W29" s="22" t="str">
        <f t="shared" si="11"/>
        <v>متوسط</v>
      </c>
      <c r="X29" s="90">
        <f t="shared" si="20"/>
        <v>0</v>
      </c>
      <c r="Y29" s="90">
        <f t="shared" si="12"/>
        <v>0</v>
      </c>
      <c r="Z29" s="90">
        <f t="shared" si="12"/>
        <v>0</v>
      </c>
      <c r="AA29" s="90">
        <f t="shared" si="21"/>
        <v>0</v>
      </c>
      <c r="AB29" s="65">
        <v>17</v>
      </c>
      <c r="AC29" s="66">
        <v>12</v>
      </c>
      <c r="AD29" s="50"/>
      <c r="AE29" s="71">
        <f t="shared" si="13"/>
        <v>29</v>
      </c>
      <c r="AF29" s="67">
        <v>21</v>
      </c>
      <c r="AG29" s="51">
        <f t="shared" si="14"/>
        <v>10</v>
      </c>
      <c r="AH29" s="73">
        <f t="shared" si="15"/>
        <v>20</v>
      </c>
      <c r="AI29" s="19" t="str">
        <f t="shared" si="16"/>
        <v>متوسط</v>
      </c>
      <c r="AJ29" s="80">
        <f t="shared" si="17"/>
        <v>10</v>
      </c>
      <c r="AK29" s="22" t="str">
        <f t="shared" si="18"/>
        <v>متوسط</v>
      </c>
      <c r="AL29" s="90">
        <f t="shared" si="22"/>
        <v>0</v>
      </c>
      <c r="AM29" s="90">
        <f t="shared" si="19"/>
        <v>0</v>
      </c>
      <c r="AN29" s="90">
        <f t="shared" si="19"/>
        <v>0</v>
      </c>
      <c r="AO29" s="90">
        <f t="shared" si="23"/>
        <v>0</v>
      </c>
    </row>
    <row spans="1:41" r="30" thickBot="1" ht="18.75">
      <c r="A30" s="2">
        <v>23</v>
      </c>
      <c r="B30" s="83"/>
      <c r="C30" s="44"/>
      <c r="D30" s="65">
        <v>18</v>
      </c>
      <c r="E30" s="66">
        <v>14</v>
      </c>
      <c r="F30" s="50"/>
      <c r="G30" s="96">
        <f t="shared" si="0"/>
        <v>32</v>
      </c>
      <c r="H30" s="67">
        <v>54</v>
      </c>
      <c r="I30" s="98">
        <f t="shared" si="1"/>
        <v>17.2</v>
      </c>
      <c r="J30" s="101">
        <f t="shared" si="2"/>
        <v>34.4</v>
      </c>
      <c r="K30" s="102" t="str">
        <f t="shared" si="3"/>
        <v>ممتاز</v>
      </c>
      <c r="L30" s="91">
        <f t="shared" si="4"/>
        <v>0</v>
      </c>
      <c r="M30" s="91">
        <f t="shared" si="5"/>
        <v>0</v>
      </c>
      <c r="N30" s="91">
        <f t="shared" si="6"/>
        <v>0</v>
      </c>
      <c r="O30" s="91">
        <f t="shared" si="7"/>
        <v>0</v>
      </c>
      <c r="P30" s="65">
        <v>18</v>
      </c>
      <c r="Q30" s="66">
        <v>14</v>
      </c>
      <c r="R30" s="50"/>
      <c r="S30" s="71">
        <f t="shared" si="8"/>
        <v>32</v>
      </c>
      <c r="T30" s="67">
        <v>54</v>
      </c>
      <c r="U30" s="51">
        <f t="shared" si="9"/>
        <v>17.2</v>
      </c>
      <c r="V30" s="73">
        <f t="shared" si="10"/>
        <v>34.4</v>
      </c>
      <c r="W30" s="22" t="str">
        <f t="shared" si="11"/>
        <v>ممتاز</v>
      </c>
      <c r="X30" s="90">
        <f t="shared" si="20"/>
        <v>0</v>
      </c>
      <c r="Y30" s="90">
        <f t="shared" si="12"/>
        <v>0</v>
      </c>
      <c r="Z30" s="90">
        <f t="shared" si="12"/>
        <v>0</v>
      </c>
      <c r="AA30" s="90">
        <f t="shared" si="21"/>
        <v>0</v>
      </c>
      <c r="AB30" s="65">
        <v>18</v>
      </c>
      <c r="AC30" s="66">
        <v>14</v>
      </c>
      <c r="AD30" s="50"/>
      <c r="AE30" s="71">
        <f t="shared" si="13"/>
        <v>32</v>
      </c>
      <c r="AF30" s="67">
        <v>54</v>
      </c>
      <c r="AG30" s="51">
        <f t="shared" si="14"/>
        <v>17.2</v>
      </c>
      <c r="AH30" s="73">
        <f t="shared" si="15"/>
        <v>34.4</v>
      </c>
      <c r="AI30" s="19" t="str">
        <f t="shared" si="16"/>
        <v>ممتاز</v>
      </c>
      <c r="AJ30" s="80">
        <f t="shared" si="17"/>
        <v>17.2</v>
      </c>
      <c r="AK30" s="22" t="str">
        <f t="shared" si="18"/>
        <v>ممتاز</v>
      </c>
      <c r="AL30" s="90">
        <f t="shared" si="22"/>
        <v>0</v>
      </c>
      <c r="AM30" s="90">
        <f t="shared" si="19"/>
        <v>0</v>
      </c>
      <c r="AN30" s="90">
        <f t="shared" si="19"/>
        <v>0</v>
      </c>
      <c r="AO30" s="90">
        <f t="shared" si="23"/>
        <v>0</v>
      </c>
    </row>
    <row spans="1:41" r="31" thickBot="1" ht="18.75">
      <c r="A31" s="2">
        <v>24</v>
      </c>
      <c r="B31" s="83"/>
      <c r="C31" s="44"/>
      <c r="D31" s="65">
        <v>16.5</v>
      </c>
      <c r="E31" s="66">
        <v>15</v>
      </c>
      <c r="F31" s="50"/>
      <c r="G31" s="96">
        <f t="shared" si="0"/>
        <v>31.5</v>
      </c>
      <c r="H31" s="67">
        <v>36</v>
      </c>
      <c r="I31" s="98">
        <f t="shared" si="1"/>
        <v>13.5</v>
      </c>
      <c r="J31" s="101">
        <f t="shared" si="2"/>
        <v>27</v>
      </c>
      <c r="K31" s="102" t="str">
        <f t="shared" si="3"/>
        <v>جيـد</v>
      </c>
      <c r="L31" s="91">
        <f t="shared" si="4"/>
        <v>0</v>
      </c>
      <c r="M31" s="91">
        <f t="shared" si="5"/>
        <v>0</v>
      </c>
      <c r="N31" s="91">
        <f t="shared" si="6"/>
        <v>0</v>
      </c>
      <c r="O31" s="91">
        <f t="shared" si="7"/>
        <v>0</v>
      </c>
      <c r="P31" s="65">
        <v>16.5</v>
      </c>
      <c r="Q31" s="66">
        <v>15</v>
      </c>
      <c r="R31" s="50"/>
      <c r="S31" s="71">
        <f t="shared" si="8"/>
        <v>31.5</v>
      </c>
      <c r="T31" s="67">
        <v>36</v>
      </c>
      <c r="U31" s="51">
        <f t="shared" si="9"/>
        <v>13.5</v>
      </c>
      <c r="V31" s="73">
        <f t="shared" si="10"/>
        <v>27</v>
      </c>
      <c r="W31" s="22" t="str">
        <f t="shared" si="11"/>
        <v>جيـد</v>
      </c>
      <c r="X31" s="90">
        <f t="shared" si="20"/>
        <v>0</v>
      </c>
      <c r="Y31" s="90">
        <f t="shared" si="12"/>
        <v>0</v>
      </c>
      <c r="Z31" s="90">
        <f t="shared" si="12"/>
        <v>0</v>
      </c>
      <c r="AA31" s="90">
        <f t="shared" si="21"/>
        <v>0</v>
      </c>
      <c r="AB31" s="65">
        <v>16.5</v>
      </c>
      <c r="AC31" s="66">
        <v>15</v>
      </c>
      <c r="AD31" s="50"/>
      <c r="AE31" s="71">
        <f t="shared" si="13"/>
        <v>31.5</v>
      </c>
      <c r="AF31" s="67">
        <v>36</v>
      </c>
      <c r="AG31" s="51">
        <f t="shared" si="14"/>
        <v>13.5</v>
      </c>
      <c r="AH31" s="73">
        <f t="shared" si="15"/>
        <v>27</v>
      </c>
      <c r="AI31" s="19" t="str">
        <f t="shared" si="16"/>
        <v>جيـد</v>
      </c>
      <c r="AJ31" s="80">
        <f t="shared" si="17"/>
        <v>13.5</v>
      </c>
      <c r="AK31" s="22" t="str">
        <f t="shared" si="18"/>
        <v>جيـد</v>
      </c>
      <c r="AL31" s="90">
        <f t="shared" si="22"/>
        <v>0</v>
      </c>
      <c r="AM31" s="90">
        <f t="shared" si="19"/>
        <v>0</v>
      </c>
      <c r="AN31" s="90">
        <f t="shared" si="19"/>
        <v>0</v>
      </c>
      <c r="AO31" s="90">
        <f t="shared" si="23"/>
        <v>0</v>
      </c>
    </row>
    <row spans="1:41" r="32" thickBot="1" ht="18.75">
      <c r="A32" s="2">
        <v>25</v>
      </c>
      <c r="B32" s="83"/>
      <c r="C32" s="44"/>
      <c r="D32" s="65">
        <v>16.5</v>
      </c>
      <c r="E32" s="66">
        <v>14</v>
      </c>
      <c r="F32" s="50"/>
      <c r="G32" s="96">
        <f t="shared" si="0"/>
        <v>30.5</v>
      </c>
      <c r="H32" s="67">
        <v>36</v>
      </c>
      <c r="I32" s="98">
        <f t="shared" si="1"/>
        <v>13.3</v>
      </c>
      <c r="J32" s="101">
        <f t="shared" si="2"/>
        <v>26.6</v>
      </c>
      <c r="K32" s="102" t="str">
        <f t="shared" si="3"/>
        <v>جيـد</v>
      </c>
      <c r="L32" s="91">
        <f t="shared" si="4"/>
        <v>0</v>
      </c>
      <c r="M32" s="91">
        <f t="shared" si="5"/>
        <v>0</v>
      </c>
      <c r="N32" s="91">
        <f t="shared" si="6"/>
        <v>0</v>
      </c>
      <c r="O32" s="91">
        <f t="shared" si="7"/>
        <v>0</v>
      </c>
      <c r="P32" s="65">
        <v>16.5</v>
      </c>
      <c r="Q32" s="66">
        <v>14</v>
      </c>
      <c r="R32" s="50"/>
      <c r="S32" s="71">
        <f t="shared" si="8"/>
        <v>30.5</v>
      </c>
      <c r="T32" s="67">
        <v>36</v>
      </c>
      <c r="U32" s="51">
        <f t="shared" si="9"/>
        <v>13.3</v>
      </c>
      <c r="V32" s="73">
        <f t="shared" si="10"/>
        <v>26.6</v>
      </c>
      <c r="W32" s="22" t="str">
        <f t="shared" si="11"/>
        <v>جيـد</v>
      </c>
      <c r="X32" s="90">
        <f t="shared" si="20"/>
        <v>0</v>
      </c>
      <c r="Y32" s="90">
        <f t="shared" si="12"/>
        <v>0</v>
      </c>
      <c r="Z32" s="90">
        <f t="shared" si="12"/>
        <v>0</v>
      </c>
      <c r="AA32" s="90">
        <f t="shared" si="21"/>
        <v>0</v>
      </c>
      <c r="AB32" s="65">
        <v>16.5</v>
      </c>
      <c r="AC32" s="66">
        <v>14</v>
      </c>
      <c r="AD32" s="50"/>
      <c r="AE32" s="71">
        <f t="shared" si="13"/>
        <v>30.5</v>
      </c>
      <c r="AF32" s="67">
        <v>36</v>
      </c>
      <c r="AG32" s="51">
        <f t="shared" si="14"/>
        <v>13.3</v>
      </c>
      <c r="AH32" s="73">
        <f t="shared" si="15"/>
        <v>26.6</v>
      </c>
      <c r="AI32" s="19" t="str">
        <f t="shared" si="16"/>
        <v>جيـد</v>
      </c>
      <c r="AJ32" s="80">
        <f t="shared" si="17"/>
        <v>13.300000000000002</v>
      </c>
      <c r="AK32" s="22" t="str">
        <f t="shared" si="18"/>
        <v>جيـد</v>
      </c>
      <c r="AL32" s="90">
        <f t="shared" si="22"/>
        <v>0</v>
      </c>
      <c r="AM32" s="90">
        <f t="shared" si="19"/>
        <v>0</v>
      </c>
      <c r="AN32" s="90">
        <f t="shared" si="19"/>
        <v>0</v>
      </c>
      <c r="AO32" s="90">
        <f t="shared" si="23"/>
        <v>0</v>
      </c>
    </row>
    <row spans="1:41" r="33" thickBot="1" ht="18.75">
      <c r="A33" s="2">
        <v>26</v>
      </c>
      <c r="B33" s="83"/>
      <c r="C33" s="44"/>
      <c r="D33" s="65">
        <v>14.5</v>
      </c>
      <c r="E33" s="66">
        <v>17</v>
      </c>
      <c r="F33" s="50"/>
      <c r="G33" s="96">
        <f t="shared" si="0"/>
        <v>31.5</v>
      </c>
      <c r="H33" s="67">
        <v>24</v>
      </c>
      <c r="I33" s="98">
        <f t="shared" si="1"/>
        <v>11.1</v>
      </c>
      <c r="J33" s="101">
        <f t="shared" si="2"/>
        <v>22.2</v>
      </c>
      <c r="K33" s="102" t="str">
        <f t="shared" si="3"/>
        <v>متوسط</v>
      </c>
      <c r="L33" s="91">
        <f t="shared" si="4"/>
        <v>0</v>
      </c>
      <c r="M33" s="91">
        <f t="shared" si="5"/>
        <v>0</v>
      </c>
      <c r="N33" s="91">
        <f t="shared" si="6"/>
        <v>0</v>
      </c>
      <c r="O33" s="91">
        <f t="shared" si="7"/>
        <v>0</v>
      </c>
      <c r="P33" s="65">
        <v>14.5</v>
      </c>
      <c r="Q33" s="66">
        <v>17</v>
      </c>
      <c r="R33" s="50"/>
      <c r="S33" s="71">
        <f t="shared" si="8"/>
        <v>31.5</v>
      </c>
      <c r="T33" s="67">
        <v>24</v>
      </c>
      <c r="U33" s="51">
        <f t="shared" si="9"/>
        <v>11.1</v>
      </c>
      <c r="V33" s="73">
        <f t="shared" si="10"/>
        <v>22.2</v>
      </c>
      <c r="W33" s="22" t="str">
        <f t="shared" si="11"/>
        <v>متوسط</v>
      </c>
      <c r="X33" s="90">
        <f t="shared" si="20"/>
        <v>0</v>
      </c>
      <c r="Y33" s="90">
        <f t="shared" si="12"/>
        <v>0</v>
      </c>
      <c r="Z33" s="90">
        <f t="shared" si="12"/>
        <v>0</v>
      </c>
      <c r="AA33" s="90">
        <f t="shared" si="21"/>
        <v>0</v>
      </c>
      <c r="AB33" s="65">
        <v>14.5</v>
      </c>
      <c r="AC33" s="66">
        <v>17</v>
      </c>
      <c r="AD33" s="50"/>
      <c r="AE33" s="71">
        <f t="shared" si="13"/>
        <v>31.5</v>
      </c>
      <c r="AF33" s="67">
        <v>24</v>
      </c>
      <c r="AG33" s="51">
        <f t="shared" si="14"/>
        <v>11.1</v>
      </c>
      <c r="AH33" s="73">
        <f t="shared" si="15"/>
        <v>22.2</v>
      </c>
      <c r="AI33" s="19" t="str">
        <f t="shared" si="16"/>
        <v>متوسط</v>
      </c>
      <c r="AJ33" s="80">
        <f t="shared" si="17"/>
        <v>11.1</v>
      </c>
      <c r="AK33" s="22" t="str">
        <f t="shared" si="18"/>
        <v>متوسط</v>
      </c>
      <c r="AL33" s="90">
        <f t="shared" si="22"/>
        <v>0</v>
      </c>
      <c r="AM33" s="90">
        <f t="shared" si="19"/>
        <v>0</v>
      </c>
      <c r="AN33" s="90">
        <f t="shared" si="19"/>
        <v>0</v>
      </c>
      <c r="AO33" s="90">
        <f t="shared" si="23"/>
        <v>0</v>
      </c>
    </row>
    <row spans="1:41" r="34" thickBot="1" ht="18.75">
      <c r="A34" s="2">
        <v>27</v>
      </c>
      <c r="B34" s="83"/>
      <c r="C34" s="44"/>
      <c r="D34" s="65">
        <v>18.5</v>
      </c>
      <c r="E34" s="66">
        <v>16</v>
      </c>
      <c r="F34" s="50"/>
      <c r="G34" s="96">
        <f t="shared" si="0"/>
        <v>34.5</v>
      </c>
      <c r="H34" s="67">
        <v>42</v>
      </c>
      <c r="I34" s="98">
        <f t="shared" si="1"/>
        <v>15.3</v>
      </c>
      <c r="J34" s="101">
        <f t="shared" si="2"/>
        <v>30.6</v>
      </c>
      <c r="K34" s="102" t="str">
        <f t="shared" si="3"/>
        <v>جيـد جـدا</v>
      </c>
      <c r="L34" s="91">
        <f t="shared" si="4"/>
        <v>0</v>
      </c>
      <c r="M34" s="91">
        <f t="shared" si="5"/>
        <v>0</v>
      </c>
      <c r="N34" s="91">
        <f t="shared" si="6"/>
        <v>0</v>
      </c>
      <c r="O34" s="91">
        <f t="shared" si="7"/>
        <v>0</v>
      </c>
      <c r="P34" s="65">
        <v>18.5</v>
      </c>
      <c r="Q34" s="66">
        <v>16</v>
      </c>
      <c r="R34" s="50"/>
      <c r="S34" s="71">
        <f t="shared" si="8"/>
        <v>34.5</v>
      </c>
      <c r="T34" s="67">
        <v>42</v>
      </c>
      <c r="U34" s="51">
        <f t="shared" si="9"/>
        <v>15.3</v>
      </c>
      <c r="V34" s="73">
        <f t="shared" si="10"/>
        <v>30.6</v>
      </c>
      <c r="W34" s="22" t="str">
        <f t="shared" si="11"/>
        <v>جيـد جـدا</v>
      </c>
      <c r="X34" s="90">
        <f t="shared" si="20"/>
        <v>0</v>
      </c>
      <c r="Y34" s="90">
        <f t="shared" si="12"/>
        <v>0</v>
      </c>
      <c r="Z34" s="90">
        <f t="shared" si="12"/>
        <v>0</v>
      </c>
      <c r="AA34" s="90">
        <f t="shared" si="21"/>
        <v>0</v>
      </c>
      <c r="AB34" s="65">
        <v>18.5</v>
      </c>
      <c r="AC34" s="66">
        <v>16</v>
      </c>
      <c r="AD34" s="50"/>
      <c r="AE34" s="71">
        <f t="shared" si="13"/>
        <v>34.5</v>
      </c>
      <c r="AF34" s="67">
        <v>42</v>
      </c>
      <c r="AG34" s="51">
        <f t="shared" si="14"/>
        <v>15.3</v>
      </c>
      <c r="AH34" s="73">
        <f t="shared" si="15"/>
        <v>30.6</v>
      </c>
      <c r="AI34" s="19" t="str">
        <f t="shared" si="16"/>
        <v>جيـد جـدا</v>
      </c>
      <c r="AJ34" s="80">
        <f t="shared" si="17"/>
        <v>15.300000000000002</v>
      </c>
      <c r="AK34" s="22" t="str">
        <f t="shared" si="18"/>
        <v>جيـد جـدا</v>
      </c>
      <c r="AL34" s="90">
        <f t="shared" si="22"/>
        <v>0</v>
      </c>
      <c r="AM34" s="90">
        <f t="shared" si="19"/>
        <v>0</v>
      </c>
      <c r="AN34" s="90">
        <f t="shared" si="19"/>
        <v>0</v>
      </c>
      <c r="AO34" s="90">
        <f t="shared" si="23"/>
        <v>0</v>
      </c>
    </row>
    <row spans="1:41" r="35" thickBot="1" ht="18.75">
      <c r="A35" s="2">
        <v>28</v>
      </c>
      <c r="B35" s="83"/>
      <c r="C35" s="44"/>
      <c r="D35" s="65">
        <v>15</v>
      </c>
      <c r="E35" s="66">
        <v>14</v>
      </c>
      <c r="F35" s="50"/>
      <c r="G35" s="96">
        <f t="shared" si="0"/>
        <v>29</v>
      </c>
      <c r="H35" s="67">
        <v>30</v>
      </c>
      <c r="I35" s="98">
        <f t="shared" si="1"/>
        <v>11.8</v>
      </c>
      <c r="J35" s="101">
        <f t="shared" si="2"/>
        <v>23.6</v>
      </c>
      <c r="K35" s="102" t="str">
        <f t="shared" si="3"/>
        <v>متوسط</v>
      </c>
      <c r="L35" s="91">
        <f t="shared" si="4"/>
        <v>0</v>
      </c>
      <c r="M35" s="91">
        <f t="shared" si="5"/>
        <v>0</v>
      </c>
      <c r="N35" s="91">
        <f t="shared" si="6"/>
        <v>0</v>
      </c>
      <c r="O35" s="91">
        <f t="shared" si="7"/>
        <v>0</v>
      </c>
      <c r="P35" s="65">
        <v>15</v>
      </c>
      <c r="Q35" s="66">
        <v>14</v>
      </c>
      <c r="R35" s="50"/>
      <c r="S35" s="71">
        <f t="shared" si="8"/>
        <v>29</v>
      </c>
      <c r="T35" s="67">
        <v>30</v>
      </c>
      <c r="U35" s="51">
        <f t="shared" si="9"/>
        <v>11.8</v>
      </c>
      <c r="V35" s="73">
        <f t="shared" si="10"/>
        <v>23.6</v>
      </c>
      <c r="W35" s="22" t="str">
        <f t="shared" si="11"/>
        <v>متوسط</v>
      </c>
      <c r="X35" s="90">
        <f t="shared" si="20"/>
        <v>0</v>
      </c>
      <c r="Y35" s="90">
        <f t="shared" si="12"/>
        <v>0</v>
      </c>
      <c r="Z35" s="90">
        <f t="shared" si="12"/>
        <v>0</v>
      </c>
      <c r="AA35" s="90">
        <f t="shared" si="21"/>
        <v>0</v>
      </c>
      <c r="AB35" s="65">
        <v>15</v>
      </c>
      <c r="AC35" s="66">
        <v>14</v>
      </c>
      <c r="AD35" s="50"/>
      <c r="AE35" s="71">
        <f t="shared" si="13"/>
        <v>29</v>
      </c>
      <c r="AF35" s="67">
        <v>30</v>
      </c>
      <c r="AG35" s="51">
        <f t="shared" si="14"/>
        <v>11.8</v>
      </c>
      <c r="AH35" s="73">
        <f t="shared" si="15"/>
        <v>23.6</v>
      </c>
      <c r="AI35" s="19" t="str">
        <f t="shared" si="16"/>
        <v>متوسط</v>
      </c>
      <c r="AJ35" s="80">
        <f t="shared" si="17"/>
        <v>11.800000000000002</v>
      </c>
      <c r="AK35" s="22" t="str">
        <f t="shared" si="18"/>
        <v>متوسط</v>
      </c>
      <c r="AL35" s="90">
        <f t="shared" si="22"/>
        <v>0</v>
      </c>
      <c r="AM35" s="90">
        <f t="shared" si="19"/>
        <v>0</v>
      </c>
      <c r="AN35" s="90">
        <f t="shared" si="19"/>
        <v>0</v>
      </c>
      <c r="AO35" s="90">
        <f t="shared" si="23"/>
        <v>0</v>
      </c>
    </row>
    <row spans="1:41" r="36" customHeight="1" thickBot="1" ht="17.25">
      <c r="A36" s="2">
        <v>29</v>
      </c>
      <c r="B36" s="83"/>
      <c r="C36" s="44"/>
      <c r="D36" s="65">
        <v>18.5</v>
      </c>
      <c r="E36" s="66">
        <v>14</v>
      </c>
      <c r="F36" s="50"/>
      <c r="G36" s="96">
        <f t="shared" si="0"/>
        <v>32.5</v>
      </c>
      <c r="H36" s="67">
        <v>45</v>
      </c>
      <c r="I36" s="98">
        <f t="shared" si="1"/>
        <v>15.5</v>
      </c>
      <c r="J36" s="101">
        <f t="shared" si="2"/>
        <v>31</v>
      </c>
      <c r="K36" s="102" t="str">
        <f t="shared" si="3"/>
        <v>جيـد جـدا</v>
      </c>
      <c r="L36" s="91">
        <f t="shared" si="4"/>
        <v>0</v>
      </c>
      <c r="M36" s="91">
        <f t="shared" si="5"/>
        <v>0</v>
      </c>
      <c r="N36" s="91">
        <f t="shared" si="6"/>
        <v>0</v>
      </c>
      <c r="O36" s="91">
        <f t="shared" si="7"/>
        <v>0</v>
      </c>
      <c r="P36" s="65">
        <v>18.5</v>
      </c>
      <c r="Q36" s="66">
        <v>14</v>
      </c>
      <c r="R36" s="50"/>
      <c r="S36" s="71">
        <f t="shared" si="8"/>
        <v>32.5</v>
      </c>
      <c r="T36" s="67">
        <v>45</v>
      </c>
      <c r="U36" s="51">
        <f t="shared" si="9"/>
        <v>15.5</v>
      </c>
      <c r="V36" s="73">
        <f t="shared" si="10"/>
        <v>31</v>
      </c>
      <c r="W36" s="22" t="str">
        <f t="shared" si="11"/>
        <v>جيـد جـدا</v>
      </c>
      <c r="X36" s="90">
        <f t="shared" si="20"/>
        <v>0</v>
      </c>
      <c r="Y36" s="90">
        <f t="shared" si="12"/>
        <v>0</v>
      </c>
      <c r="Z36" s="90">
        <f t="shared" si="12"/>
        <v>0</v>
      </c>
      <c r="AA36" s="90">
        <f t="shared" si="21"/>
        <v>0</v>
      </c>
      <c r="AB36" s="65">
        <v>18.5</v>
      </c>
      <c r="AC36" s="66">
        <v>14</v>
      </c>
      <c r="AD36" s="50"/>
      <c r="AE36" s="71">
        <f t="shared" si="13"/>
        <v>32.5</v>
      </c>
      <c r="AF36" s="67">
        <v>45</v>
      </c>
      <c r="AG36" s="51">
        <f t="shared" si="14"/>
        <v>15.5</v>
      </c>
      <c r="AH36" s="73">
        <f t="shared" si="15"/>
        <v>31</v>
      </c>
      <c r="AI36" s="19" t="str">
        <f t="shared" si="16"/>
        <v>جيـد جـدا</v>
      </c>
      <c r="AJ36" s="80">
        <f t="shared" si="17"/>
        <v>15.5</v>
      </c>
      <c r="AK36" s="22" t="str">
        <f t="shared" si="18"/>
        <v>جيـد جـدا</v>
      </c>
      <c r="AL36" s="90">
        <f t="shared" si="22"/>
        <v>0</v>
      </c>
      <c r="AM36" s="90">
        <f t="shared" si="19"/>
        <v>0</v>
      </c>
      <c r="AN36" s="90">
        <f t="shared" si="19"/>
        <v>0</v>
      </c>
      <c r="AO36" s="90">
        <f t="shared" si="23"/>
        <v>0</v>
      </c>
    </row>
    <row spans="1:41" r="37" thickBot="1" ht="18.75">
      <c r="A37" s="2">
        <v>30</v>
      </c>
      <c r="B37" s="83"/>
      <c r="C37" s="44"/>
      <c r="D37" s="65">
        <v>10</v>
      </c>
      <c r="E37" s="66">
        <v>14</v>
      </c>
      <c r="F37" s="50"/>
      <c r="G37" s="96">
        <f t="shared" si="0"/>
        <v>24</v>
      </c>
      <c r="H37" s="67">
        <v>3</v>
      </c>
      <c r="I37" s="98">
        <f t="shared" si="1"/>
        <v>5.4</v>
      </c>
      <c r="J37" s="101">
        <f t="shared" si="2"/>
        <v>10.8</v>
      </c>
      <c r="K37" s="102" t="str">
        <f t="shared" si="3"/>
        <v>ضعيف جـدا</v>
      </c>
      <c r="L37" s="91">
        <f t="shared" si="4"/>
        <v>0</v>
      </c>
      <c r="M37" s="91">
        <f t="shared" si="5"/>
        <v>0</v>
      </c>
      <c r="N37" s="91">
        <f t="shared" si="6"/>
        <v>0</v>
      </c>
      <c r="O37" s="91">
        <f t="shared" si="7"/>
        <v>0</v>
      </c>
      <c r="P37" s="65">
        <v>10</v>
      </c>
      <c r="Q37" s="66">
        <v>14</v>
      </c>
      <c r="R37" s="50"/>
      <c r="S37" s="71">
        <f t="shared" si="8"/>
        <v>24</v>
      </c>
      <c r="T37" s="67">
        <v>3</v>
      </c>
      <c r="U37" s="51">
        <f t="shared" si="9"/>
        <v>5.4</v>
      </c>
      <c r="V37" s="73">
        <f t="shared" si="10"/>
        <v>10.8</v>
      </c>
      <c r="W37" s="22" t="str">
        <f t="shared" si="11"/>
        <v>ضعيف جـدا</v>
      </c>
      <c r="X37" s="90">
        <f t="shared" si="20"/>
        <v>0</v>
      </c>
      <c r="Y37" s="90">
        <f t="shared" si="12"/>
        <v>0</v>
      </c>
      <c r="Z37" s="90">
        <f t="shared" si="12"/>
        <v>0</v>
      </c>
      <c r="AA37" s="90">
        <f t="shared" si="21"/>
        <v>0</v>
      </c>
      <c r="AB37" s="65">
        <v>10</v>
      </c>
      <c r="AC37" s="66">
        <v>14</v>
      </c>
      <c r="AD37" s="50"/>
      <c r="AE37" s="71">
        <f t="shared" si="13"/>
        <v>24</v>
      </c>
      <c r="AF37" s="67">
        <v>3</v>
      </c>
      <c r="AG37" s="51">
        <f t="shared" si="14"/>
        <v>5.4</v>
      </c>
      <c r="AH37" s="73">
        <f t="shared" si="15"/>
        <v>10.8</v>
      </c>
      <c r="AI37" s="19" t="str">
        <f t="shared" si="16"/>
        <v>ضعيف جـدا</v>
      </c>
      <c r="AJ37" s="80">
        <f t="shared" si="17"/>
        <v>5.4000000000000012</v>
      </c>
      <c r="AK37" s="22" t="str">
        <f t="shared" si="18"/>
        <v>ضعيف جـدا</v>
      </c>
      <c r="AL37" s="90">
        <f t="shared" si="22"/>
        <v>0</v>
      </c>
      <c r="AM37" s="90">
        <f t="shared" si="19"/>
        <v>0</v>
      </c>
      <c r="AN37" s="90">
        <f t="shared" si="19"/>
        <v>0</v>
      </c>
      <c r="AO37" s="90">
        <f t="shared" si="23"/>
        <v>0</v>
      </c>
    </row>
    <row spans="1:41" r="38" thickBot="1" ht="18.75">
      <c r="A38" s="2">
        <v>31</v>
      </c>
      <c r="B38" s="83"/>
      <c r="C38" s="44"/>
      <c r="D38" s="52">
        <v>10.5</v>
      </c>
      <c r="E38" s="53">
        <v>11</v>
      </c>
      <c r="F38" s="50"/>
      <c r="G38" s="96">
        <f t="shared" si="0"/>
        <v>21.5</v>
      </c>
      <c r="H38" s="54">
        <v>15</v>
      </c>
      <c r="I38" s="98">
        <f t="shared" si="1"/>
        <v>7.3</v>
      </c>
      <c r="J38" s="101">
        <f t="shared" si="2"/>
        <v>14.6</v>
      </c>
      <c r="K38" s="102" t="str">
        <f t="shared" si="3"/>
        <v>ضعيف جـدا</v>
      </c>
      <c r="L38" s="91">
        <f t="shared" si="4"/>
        <v>0</v>
      </c>
      <c r="M38" s="91">
        <f t="shared" si="5"/>
        <v>0</v>
      </c>
      <c r="N38" s="91">
        <f t="shared" si="6"/>
        <v>0</v>
      </c>
      <c r="O38" s="91">
        <f t="shared" si="7"/>
        <v>0</v>
      </c>
      <c r="P38" s="52">
        <v>10.5</v>
      </c>
      <c r="Q38" s="53">
        <v>11</v>
      </c>
      <c r="R38" s="50"/>
      <c r="S38" s="71">
        <f t="shared" si="8"/>
        <v>21.5</v>
      </c>
      <c r="T38" s="54">
        <v>15</v>
      </c>
      <c r="U38" s="51">
        <f t="shared" si="9"/>
        <v>7.3</v>
      </c>
      <c r="V38" s="73">
        <f t="shared" si="10"/>
        <v>14.6</v>
      </c>
      <c r="W38" s="22" t="str">
        <f t="shared" si="11"/>
        <v>ضعيف جـدا</v>
      </c>
      <c r="X38" s="90">
        <f t="shared" si="20"/>
        <v>0</v>
      </c>
      <c r="Y38" s="90">
        <f t="shared" si="12"/>
        <v>0</v>
      </c>
      <c r="Z38" s="90">
        <f t="shared" si="12"/>
        <v>0</v>
      </c>
      <c r="AA38" s="90">
        <f t="shared" si="21"/>
        <v>0</v>
      </c>
      <c r="AB38" s="52">
        <v>10.5</v>
      </c>
      <c r="AC38" s="53">
        <v>11</v>
      </c>
      <c r="AD38" s="50"/>
      <c r="AE38" s="71">
        <f t="shared" si="13"/>
        <v>21.5</v>
      </c>
      <c r="AF38" s="54">
        <v>15</v>
      </c>
      <c r="AG38" s="51">
        <f t="shared" si="14"/>
        <v>7.3</v>
      </c>
      <c r="AH38" s="73">
        <f t="shared" si="15"/>
        <v>14.6</v>
      </c>
      <c r="AI38" s="19" t="str">
        <f t="shared" si="16"/>
        <v>ضعيف جـدا</v>
      </c>
      <c r="AJ38" s="80">
        <f t="shared" si="17"/>
        <v>7.3</v>
      </c>
      <c r="AK38" s="22" t="str">
        <f t="shared" si="18"/>
        <v>ضعيف جـدا</v>
      </c>
      <c r="AL38" s="90">
        <f t="shared" si="22"/>
        <v>0</v>
      </c>
      <c r="AM38" s="90">
        <f t="shared" si="19"/>
        <v>0</v>
      </c>
      <c r="AN38" s="90">
        <f t="shared" si="19"/>
        <v>0</v>
      </c>
      <c r="AO38" s="90">
        <f t="shared" si="23"/>
        <v>0</v>
      </c>
    </row>
    <row spans="1:41" r="39" thickBot="1" ht="18.75">
      <c r="A39" s="2">
        <v>32</v>
      </c>
      <c r="B39" s="83"/>
      <c r="C39" s="44"/>
      <c r="D39" s="52">
        <v>10.5</v>
      </c>
      <c r="E39" s="53">
        <v>11</v>
      </c>
      <c r="F39" s="50"/>
      <c r="G39" s="96">
        <f t="shared" si="0"/>
        <v>21.5</v>
      </c>
      <c r="H39" s="54">
        <v>15</v>
      </c>
      <c r="I39" s="98">
        <f t="shared" si="1"/>
        <v>7.3</v>
      </c>
      <c r="J39" s="101">
        <f t="shared" si="2"/>
        <v>14.6</v>
      </c>
      <c r="K39" s="102" t="str">
        <f t="shared" si="3"/>
        <v>ضعيف جـدا</v>
      </c>
      <c r="L39" s="91">
        <f t="shared" si="4"/>
        <v>0</v>
      </c>
      <c r="M39" s="91">
        <f t="shared" si="5"/>
        <v>0</v>
      </c>
      <c r="N39" s="91">
        <f t="shared" si="6"/>
        <v>0</v>
      </c>
      <c r="O39" s="91">
        <f t="shared" si="7"/>
        <v>0</v>
      </c>
      <c r="P39" s="52">
        <v>10.5</v>
      </c>
      <c r="Q39" s="53">
        <v>11</v>
      </c>
      <c r="R39" s="50"/>
      <c r="S39" s="71">
        <f t="shared" si="8"/>
        <v>21.5</v>
      </c>
      <c r="T39" s="54">
        <v>15</v>
      </c>
      <c r="U39" s="51">
        <f t="shared" si="9"/>
        <v>7.3</v>
      </c>
      <c r="V39" s="73">
        <f t="shared" si="10"/>
        <v>14.6</v>
      </c>
      <c r="W39" s="22" t="str">
        <f t="shared" si="11"/>
        <v>ضعيف جـدا</v>
      </c>
      <c r="X39" s="90">
        <f t="shared" si="20"/>
        <v>0</v>
      </c>
      <c r="Y39" s="90">
        <f t="shared" si="12"/>
        <v>0</v>
      </c>
      <c r="Z39" s="90">
        <f t="shared" si="12"/>
        <v>0</v>
      </c>
      <c r="AA39" s="90">
        <f t="shared" si="21"/>
        <v>0</v>
      </c>
      <c r="AB39" s="52">
        <v>10.5</v>
      </c>
      <c r="AC39" s="53">
        <v>11</v>
      </c>
      <c r="AD39" s="50"/>
      <c r="AE39" s="71">
        <f t="shared" si="13"/>
        <v>21.5</v>
      </c>
      <c r="AF39" s="54">
        <v>15</v>
      </c>
      <c r="AG39" s="51">
        <f t="shared" si="14"/>
        <v>7.3</v>
      </c>
      <c r="AH39" s="73">
        <f t="shared" si="15"/>
        <v>14.6</v>
      </c>
      <c r="AI39" s="19" t="str">
        <f t="shared" si="16"/>
        <v>ضعيف جـدا</v>
      </c>
      <c r="AJ39" s="80">
        <f t="shared" si="17"/>
        <v>7.3</v>
      </c>
      <c r="AK39" s="22" t="str">
        <f t="shared" si="18"/>
        <v>ضعيف جـدا</v>
      </c>
      <c r="AL39" s="90">
        <f t="shared" si="22"/>
        <v>0</v>
      </c>
      <c r="AM39" s="90">
        <f t="shared" si="19"/>
        <v>0</v>
      </c>
      <c r="AN39" s="90">
        <f t="shared" si="19"/>
        <v>0</v>
      </c>
      <c r="AO39" s="90">
        <f t="shared" si="23"/>
        <v>0</v>
      </c>
    </row>
    <row spans="1:41" r="40" thickBot="1" ht="18.75">
      <c r="A40" s="2">
        <v>33</v>
      </c>
      <c r="B40" s="83"/>
      <c r="C40" s="44"/>
      <c r="D40" s="52">
        <v>16</v>
      </c>
      <c r="E40" s="53">
        <v>13</v>
      </c>
      <c r="F40" s="50"/>
      <c r="G40" s="96">
        <f ref="G40:G57" t="shared" si="24">IF(ISNUMBER(E40),AVERAGE(D40:F40)*2," ")</f>
        <v>29</v>
      </c>
      <c r="H40" s="54">
        <v>36</v>
      </c>
      <c r="I40" s="98">
        <f t="shared" si="1"/>
        <v>13</v>
      </c>
      <c r="J40" s="101">
        <f ref="J40:J57" t="shared" si="25">IF(ISNUMBER(H40),SUM(I40*$J$3)," ")</f>
        <v>26</v>
      </c>
      <c r="K40" s="102" t="str">
        <f ref="K40:K57" t="shared" si="26">IF(ISNUMBER(H40),IF(I40&gt;8,IF(I40&lt;10,"دون الوسط",IF(I40&lt;12,"متوسط",IF(I40&lt;14,"جيـد",IF(I40&lt;17,"جيـد جـدا","ممتاز")))),"ضعيف جـدا"),"غائب")</f>
        <v>جيـد</v>
      </c>
      <c r="L40" s="91">
        <f ref="L40:L57" t="shared" si="27">MOD(D40,0.25)</f>
        <v>0</v>
      </c>
      <c r="M40" s="91">
        <f ref="M40:M57" t="shared" si="28">MOD(E40,0.25)</f>
        <v>0</v>
      </c>
      <c r="N40" s="91">
        <f ref="N40:N57" t="shared" si="29">MOD(F40,0.25)</f>
        <v>0</v>
      </c>
      <c r="O40" s="91">
        <f ref="O40:O57" t="shared" si="30">MOD(H40/3,0.25)</f>
        <v>0</v>
      </c>
      <c r="P40" s="52">
        <v>16</v>
      </c>
      <c r="Q40" s="53">
        <v>13</v>
      </c>
      <c r="R40" s="50"/>
      <c r="S40" s="71">
        <f ref="S40:S57" t="shared" si="31">IF(ISNUMBER(Q40),AVERAGE(P40:R40)*2," ")</f>
        <v>29</v>
      </c>
      <c r="T40" s="54">
        <v>36</v>
      </c>
      <c r="U40" s="51">
        <f ref="U40:U57" t="shared" si="32">IF(ISNUMBER(T40),SUM(S40+T40)/5," ")</f>
        <v>13</v>
      </c>
      <c r="V40" s="73">
        <f ref="V40:V57" t="shared" si="33">IF(ISNUMBER(T40),SUM(U40*$J$3)," ")</f>
        <v>26</v>
      </c>
      <c r="W40" s="22" t="str">
        <f ref="W40:W57" t="shared" si="34">IF(ISNUMBER(T40),IF(U40&gt;8,IF(U40&lt;10,"ضعيف",IF(U40&lt;12,"متوسط",IF(U40&lt;14,"جيـد",IF(U40&lt;17,"جيـد جـدا","ممتاز")))),"ضعيف جـدا"),"غائب")</f>
        <v>جيـد</v>
      </c>
      <c r="X40" s="90">
        <f t="shared" si="20"/>
        <v>0</v>
      </c>
      <c r="Y40" s="90">
        <f t="shared" si="12"/>
        <v>0</v>
      </c>
      <c r="Z40" s="90">
        <f t="shared" si="12"/>
        <v>0</v>
      </c>
      <c r="AA40" s="90">
        <f t="shared" si="21"/>
        <v>0</v>
      </c>
      <c r="AB40" s="52">
        <v>16</v>
      </c>
      <c r="AC40" s="53">
        <v>13</v>
      </c>
      <c r="AD40" s="50"/>
      <c r="AE40" s="71">
        <f ref="AE40:AE57" t="shared" si="35">IF(ISNUMBER(AC40),AVERAGE(AB40:AD40)*2," ")</f>
        <v>29</v>
      </c>
      <c r="AF40" s="54">
        <v>36</v>
      </c>
      <c r="AG40" s="51">
        <f ref="AG40:AG57" t="shared" si="36">IF(ISNUMBER(AF40),SUM(AE40+AF40)/5," ")</f>
        <v>13</v>
      </c>
      <c r="AH40" s="73">
        <f ref="AH40:AH57" t="shared" si="37">IF(ISNUMBER(AF40),SUM(AG40*$J$3)," ")</f>
        <v>26</v>
      </c>
      <c r="AI40" s="19" t="str">
        <f ref="AI40:AI57" t="shared" si="38">IF(ISNUMBER(AF40),IF(AJ40&gt;8,IF(AJ40&lt;10,"ضعيف",IF(AJ40&lt;12,"متوسط",IF(AJ40&lt;14,"جيـد",IF(AG40&lt;17,"جيـد جـدا","ممتاز")))),"ضعيف جـدا"),"غائب")</f>
        <v>جيـد</v>
      </c>
      <c r="AJ40" s="80">
        <f ref="AJ40:AJ57" t="shared" si="39">IF(ISNUMBER(AG40),AVERAGE(I40,U40,AG40)," ")</f>
        <v>13</v>
      </c>
      <c r="AK40" s="22" t="str">
        <f ref="AK40:AK57" t="shared" si="40">IF(ISNUMBER(AF40),IF(AJ40&gt;8,IF(AJ40&lt;10,"ضعيف",IF(AJ40&lt;12,"متوسط",IF(AJ40&lt;14,"جيـد",IF(AJ40&lt;17,"جيـد جـدا","ممتاز")))),"ضعيف جـدا"),"غائب")</f>
        <v>جيـد</v>
      </c>
      <c r="AL40" s="90">
        <f t="shared" si="22"/>
        <v>0</v>
      </c>
      <c r="AM40" s="90">
        <f t="shared" si="19"/>
        <v>0</v>
      </c>
      <c r="AN40" s="90">
        <f t="shared" si="19"/>
        <v>0</v>
      </c>
      <c r="AO40" s="90">
        <f t="shared" si="23"/>
        <v>0</v>
      </c>
    </row>
    <row spans="1:41" r="41" thickBot="1" ht="18.75">
      <c r="A41" s="2">
        <v>34</v>
      </c>
      <c r="B41" s="83"/>
      <c r="C41" s="44"/>
      <c r="D41" s="52">
        <v>14.5</v>
      </c>
      <c r="E41" s="53">
        <v>14</v>
      </c>
      <c r="F41" s="50"/>
      <c r="G41" s="96">
        <f t="shared" si="24"/>
        <v>28.5</v>
      </c>
      <c r="H41" s="54">
        <v>27</v>
      </c>
      <c r="I41" s="98">
        <f t="shared" si="1"/>
        <v>11.1</v>
      </c>
      <c r="J41" s="101">
        <f t="shared" si="25"/>
        <v>22.2</v>
      </c>
      <c r="K41" s="102" t="str">
        <f t="shared" si="26"/>
        <v>متوسط</v>
      </c>
      <c r="L41" s="91">
        <f>MOD(D41,0.25)</f>
        <v>0</v>
      </c>
      <c r="M41" s="91">
        <f t="shared" si="28"/>
        <v>0</v>
      </c>
      <c r="N41" s="91">
        <f t="shared" si="29"/>
        <v>0</v>
      </c>
      <c r="O41" s="91">
        <f t="shared" si="30"/>
        <v>0</v>
      </c>
      <c r="P41" s="52">
        <v>14.5</v>
      </c>
      <c r="Q41" s="53">
        <v>14</v>
      </c>
      <c r="R41" s="50"/>
      <c r="S41" s="71">
        <f t="shared" si="31"/>
        <v>28.5</v>
      </c>
      <c r="T41" s="54">
        <v>27</v>
      </c>
      <c r="U41" s="51">
        <f t="shared" si="32"/>
        <v>11.1</v>
      </c>
      <c r="V41" s="73">
        <f t="shared" si="33"/>
        <v>22.2</v>
      </c>
      <c r="W41" s="22" t="str">
        <f t="shared" si="34"/>
        <v>متوسط</v>
      </c>
      <c r="X41" s="90">
        <f>MOD(P41,0.25)</f>
        <v>0</v>
      </c>
      <c r="Y41" s="90">
        <f t="shared" si="12"/>
        <v>0</v>
      </c>
      <c r="Z41" s="90">
        <f t="shared" si="12"/>
        <v>0</v>
      </c>
      <c r="AA41" s="90">
        <f t="shared" si="21"/>
        <v>0</v>
      </c>
      <c r="AB41" s="52">
        <v>14.5</v>
      </c>
      <c r="AC41" s="53">
        <v>14</v>
      </c>
      <c r="AD41" s="50"/>
      <c r="AE41" s="71">
        <f t="shared" si="35"/>
        <v>28.5</v>
      </c>
      <c r="AF41" s="54">
        <v>27</v>
      </c>
      <c r="AG41" s="51">
        <f t="shared" si="36"/>
        <v>11.1</v>
      </c>
      <c r="AH41" s="73">
        <f t="shared" si="37"/>
        <v>22.2</v>
      </c>
      <c r="AI41" s="19" t="str">
        <f t="shared" si="38"/>
        <v>متوسط</v>
      </c>
      <c r="AJ41" s="80">
        <f t="shared" si="39"/>
        <v>11.1</v>
      </c>
      <c r="AK41" s="22" t="str">
        <f t="shared" si="40"/>
        <v>متوسط</v>
      </c>
      <c r="AL41" s="90">
        <f t="shared" si="22"/>
        <v>0</v>
      </c>
      <c r="AM41" s="90">
        <f t="shared" si="19"/>
        <v>0</v>
      </c>
      <c r="AN41" s="90">
        <f t="shared" si="19"/>
        <v>0</v>
      </c>
      <c r="AO41" s="90">
        <f t="shared" si="23"/>
        <v>0</v>
      </c>
    </row>
    <row spans="1:41" r="42" thickBot="1" ht="17.25">
      <c r="A42" s="2">
        <v>35</v>
      </c>
      <c r="B42" s="46"/>
      <c r="C42" s="47"/>
      <c r="D42" s="52">
        <v>17</v>
      </c>
      <c r="E42" s="53">
        <v>12</v>
      </c>
      <c r="F42" s="50"/>
      <c r="G42" s="96">
        <f t="shared" si="24"/>
        <v>29</v>
      </c>
      <c r="H42" s="54">
        <v>21</v>
      </c>
      <c r="I42" s="98">
        <f t="shared" si="1"/>
        <v>10</v>
      </c>
      <c r="J42" s="101">
        <f t="shared" si="25"/>
        <v>20</v>
      </c>
      <c r="K42" s="102" t="str">
        <f t="shared" si="26"/>
        <v>متوسط</v>
      </c>
      <c r="L42" s="91">
        <f t="shared" si="27"/>
        <v>0</v>
      </c>
      <c r="M42" s="91">
        <f t="shared" si="28"/>
        <v>0</v>
      </c>
      <c r="N42" s="91">
        <f t="shared" si="29"/>
        <v>0</v>
      </c>
      <c r="O42" s="91">
        <f t="shared" si="30"/>
        <v>0</v>
      </c>
      <c r="P42" s="52">
        <v>17</v>
      </c>
      <c r="Q42" s="53">
        <v>12</v>
      </c>
      <c r="R42" s="50"/>
      <c r="S42" s="71">
        <f t="shared" si="31"/>
        <v>29</v>
      </c>
      <c r="T42" s="54">
        <v>21</v>
      </c>
      <c r="U42" s="51">
        <f t="shared" si="32"/>
        <v>10</v>
      </c>
      <c r="V42" s="73">
        <f t="shared" si="33"/>
        <v>20</v>
      </c>
      <c r="W42" s="22" t="str">
        <f t="shared" si="34"/>
        <v>متوسط</v>
      </c>
      <c r="X42" s="90">
        <f ref="X42:X57" t="shared" si="41">MOD(P42,0.25)</f>
        <v>0</v>
      </c>
      <c r="Y42" s="90">
        <f t="shared" si="12"/>
        <v>0</v>
      </c>
      <c r="Z42" s="90">
        <f t="shared" si="12"/>
        <v>0</v>
      </c>
      <c r="AA42" s="90">
        <f t="shared" si="21"/>
        <v>0</v>
      </c>
      <c r="AB42" s="52">
        <v>17</v>
      </c>
      <c r="AC42" s="53">
        <v>12</v>
      </c>
      <c r="AD42" s="50"/>
      <c r="AE42" s="71">
        <f t="shared" si="35"/>
        <v>29</v>
      </c>
      <c r="AF42" s="54">
        <v>21</v>
      </c>
      <c r="AG42" s="51">
        <f t="shared" si="36"/>
        <v>10</v>
      </c>
      <c r="AH42" s="73">
        <f t="shared" si="37"/>
        <v>20</v>
      </c>
      <c r="AI42" s="19" t="str">
        <f t="shared" si="38"/>
        <v>متوسط</v>
      </c>
      <c r="AJ42" s="80">
        <f t="shared" si="39"/>
        <v>10</v>
      </c>
      <c r="AK42" s="22" t="str">
        <f t="shared" si="40"/>
        <v>متوسط</v>
      </c>
      <c r="AL42" s="90">
        <f t="shared" si="22"/>
        <v>0</v>
      </c>
      <c r="AM42" s="90">
        <f t="shared" si="19"/>
        <v>0</v>
      </c>
      <c r="AN42" s="90">
        <f t="shared" si="19"/>
        <v>0</v>
      </c>
      <c r="AO42" s="90">
        <f t="shared" si="23"/>
        <v>0</v>
      </c>
    </row>
    <row spans="1:41" r="43" thickBot="1" ht="17.25">
      <c r="A43" s="2">
        <v>36</v>
      </c>
      <c r="B43" s="46"/>
      <c r="C43" s="47"/>
      <c r="D43" s="52">
        <v>2</v>
      </c>
      <c r="E43" s="53">
        <v>3</v>
      </c>
      <c r="F43" s="50"/>
      <c r="G43" s="96">
        <f t="shared" si="24"/>
        <v>5</v>
      </c>
      <c r="H43" s="54">
        <v>12</v>
      </c>
      <c r="I43" s="98">
        <f t="shared" si="1"/>
        <v>3.4</v>
      </c>
      <c r="J43" s="101">
        <f t="shared" si="25"/>
        <v>6.8</v>
      </c>
      <c r="K43" s="102" t="str">
        <f t="shared" si="26"/>
        <v>ضعيف جـدا</v>
      </c>
      <c r="L43" s="91">
        <f t="shared" si="27"/>
        <v>0</v>
      </c>
      <c r="M43" s="91">
        <f t="shared" si="28"/>
        <v>0</v>
      </c>
      <c r="N43" s="91">
        <f t="shared" si="29"/>
        <v>0</v>
      </c>
      <c r="O43" s="91">
        <f t="shared" si="30"/>
        <v>0</v>
      </c>
      <c r="P43" s="52">
        <v>2</v>
      </c>
      <c r="Q43" s="53">
        <v>3</v>
      </c>
      <c r="R43" s="50"/>
      <c r="S43" s="71">
        <f t="shared" si="31"/>
        <v>5</v>
      </c>
      <c r="T43" s="54">
        <v>12</v>
      </c>
      <c r="U43" s="51">
        <f t="shared" si="32"/>
        <v>3.4</v>
      </c>
      <c r="V43" s="73">
        <f t="shared" si="33"/>
        <v>6.8</v>
      </c>
      <c r="W43" s="22" t="str">
        <f t="shared" si="34"/>
        <v>ضعيف جـدا</v>
      </c>
      <c r="X43" s="90">
        <f t="shared" si="41"/>
        <v>0</v>
      </c>
      <c r="Y43" s="90">
        <f t="shared" si="12"/>
        <v>0</v>
      </c>
      <c r="Z43" s="90">
        <f t="shared" si="12"/>
        <v>0</v>
      </c>
      <c r="AA43" s="90">
        <f t="shared" si="21"/>
        <v>0</v>
      </c>
      <c r="AB43" s="52">
        <v>2</v>
      </c>
      <c r="AC43" s="53">
        <v>3</v>
      </c>
      <c r="AD43" s="50"/>
      <c r="AE43" s="71">
        <f t="shared" si="35"/>
        <v>5</v>
      </c>
      <c r="AF43" s="54">
        <v>12</v>
      </c>
      <c r="AG43" s="51">
        <f t="shared" si="36"/>
        <v>3.4</v>
      </c>
      <c r="AH43" s="73">
        <f t="shared" si="37"/>
        <v>6.8</v>
      </c>
      <c r="AI43" s="19" t="str">
        <f t="shared" si="38"/>
        <v>ضعيف جـدا</v>
      </c>
      <c r="AJ43" s="80">
        <f t="shared" si="39"/>
        <v>3.4</v>
      </c>
      <c r="AK43" s="22" t="str">
        <f t="shared" si="40"/>
        <v>ضعيف جـدا</v>
      </c>
      <c r="AL43" s="90">
        <f t="shared" si="22"/>
        <v>0</v>
      </c>
      <c r="AM43" s="90">
        <f t="shared" si="19"/>
        <v>0</v>
      </c>
      <c r="AN43" s="90">
        <f t="shared" si="19"/>
        <v>0</v>
      </c>
      <c r="AO43" s="90">
        <f t="shared" si="23"/>
        <v>0</v>
      </c>
    </row>
    <row spans="1:41" r="44" thickBot="1" ht="17.25">
      <c r="A44" s="2">
        <v>37</v>
      </c>
      <c r="B44" s="46"/>
      <c r="C44" s="47"/>
      <c r="D44" s="52">
        <v>20</v>
      </c>
      <c r="E44" s="53">
        <v>19</v>
      </c>
      <c r="F44" s="50"/>
      <c r="G44" s="96">
        <f t="shared" si="24"/>
        <v>39</v>
      </c>
      <c r="H44" s="54">
        <v>57</v>
      </c>
      <c r="I44" s="98">
        <f t="shared" si="1"/>
        <v>19.2</v>
      </c>
      <c r="J44" s="101">
        <f t="shared" si="25"/>
        <v>38.4</v>
      </c>
      <c r="K44" s="102" t="str">
        <f t="shared" si="26"/>
        <v>ممتاز</v>
      </c>
      <c r="L44" s="91">
        <f t="shared" si="27"/>
        <v>0</v>
      </c>
      <c r="M44" s="91">
        <f t="shared" si="28"/>
        <v>0</v>
      </c>
      <c r="N44" s="91">
        <f t="shared" si="29"/>
        <v>0</v>
      </c>
      <c r="O44" s="91">
        <f t="shared" si="30"/>
        <v>0</v>
      </c>
      <c r="P44" s="52">
        <v>20</v>
      </c>
      <c r="Q44" s="53">
        <v>19</v>
      </c>
      <c r="R44" s="50"/>
      <c r="S44" s="71">
        <f t="shared" si="31"/>
        <v>39</v>
      </c>
      <c r="T44" s="54">
        <v>57</v>
      </c>
      <c r="U44" s="51">
        <f t="shared" si="32"/>
        <v>19.2</v>
      </c>
      <c r="V44" s="73">
        <f t="shared" si="33"/>
        <v>38.4</v>
      </c>
      <c r="W44" s="22" t="str">
        <f t="shared" si="34"/>
        <v>ممتاز</v>
      </c>
      <c r="X44" s="90">
        <f t="shared" si="41"/>
        <v>0</v>
      </c>
      <c r="Y44" s="90">
        <f t="shared" si="12"/>
        <v>0</v>
      </c>
      <c r="Z44" s="90">
        <f t="shared" si="12"/>
        <v>0</v>
      </c>
      <c r="AA44" s="90">
        <f t="shared" si="21"/>
        <v>0</v>
      </c>
      <c r="AB44" s="52">
        <v>20</v>
      </c>
      <c r="AC44" s="53">
        <v>19</v>
      </c>
      <c r="AD44" s="50"/>
      <c r="AE44" s="71">
        <f t="shared" si="35"/>
        <v>39</v>
      </c>
      <c r="AF44" s="54">
        <v>57</v>
      </c>
      <c r="AG44" s="51">
        <f t="shared" si="36"/>
        <v>19.2</v>
      </c>
      <c r="AH44" s="73">
        <f t="shared" si="37"/>
        <v>38.4</v>
      </c>
      <c r="AI44" s="19" t="str">
        <f t="shared" si="38"/>
        <v>ممتاز</v>
      </c>
      <c r="AJ44" s="80">
        <f t="shared" si="39"/>
        <v>19.2</v>
      </c>
      <c r="AK44" s="22" t="str">
        <f t="shared" si="40"/>
        <v>ممتاز</v>
      </c>
      <c r="AL44" s="90">
        <f t="shared" si="22"/>
        <v>0</v>
      </c>
      <c r="AM44" s="90">
        <f t="shared" si="19"/>
        <v>0</v>
      </c>
      <c r="AN44" s="90">
        <f t="shared" si="19"/>
        <v>0</v>
      </c>
      <c r="AO44" s="90">
        <f t="shared" si="23"/>
        <v>0</v>
      </c>
    </row>
    <row spans="1:41" r="45" thickBot="1" ht="17.25">
      <c r="A45" s="2">
        <v>38</v>
      </c>
      <c r="B45" s="46"/>
      <c r="C45" s="48"/>
      <c r="D45" s="52">
        <v>10</v>
      </c>
      <c r="E45" s="53">
        <v>7</v>
      </c>
      <c r="F45" s="50"/>
      <c r="G45" s="96">
        <f t="shared" si="24"/>
        <v>17</v>
      </c>
      <c r="H45" s="54">
        <v>27</v>
      </c>
      <c r="I45" s="98">
        <f t="shared" si="1"/>
        <v>8.8000000000000007</v>
      </c>
      <c r="J45" s="101">
        <f t="shared" si="25"/>
        <v>17.600000000000001</v>
      </c>
      <c r="K45" s="102" t="str">
        <f t="shared" si="26"/>
        <v>دون الوسط</v>
      </c>
      <c r="L45" s="91">
        <f t="shared" si="27"/>
        <v>0</v>
      </c>
      <c r="M45" s="91">
        <f t="shared" si="28"/>
        <v>0</v>
      </c>
      <c r="N45" s="91">
        <f t="shared" si="29"/>
        <v>0</v>
      </c>
      <c r="O45" s="91">
        <f t="shared" si="30"/>
        <v>0</v>
      </c>
      <c r="P45" s="52">
        <v>10</v>
      </c>
      <c r="Q45" s="53">
        <v>7</v>
      </c>
      <c r="R45" s="50"/>
      <c r="S45" s="71">
        <f t="shared" si="31"/>
        <v>17</v>
      </c>
      <c r="T45" s="54">
        <v>27</v>
      </c>
      <c r="U45" s="51">
        <f t="shared" si="32"/>
        <v>8.8000000000000007</v>
      </c>
      <c r="V45" s="73">
        <f t="shared" si="33"/>
        <v>17.600000000000001</v>
      </c>
      <c r="W45" s="22" t="str">
        <f t="shared" si="34"/>
        <v>ضعيف</v>
      </c>
      <c r="X45" s="90">
        <f t="shared" si="41"/>
        <v>0</v>
      </c>
      <c r="Y45" s="90">
        <f t="shared" si="12"/>
        <v>0</v>
      </c>
      <c r="Z45" s="90">
        <f t="shared" si="12"/>
        <v>0</v>
      </c>
      <c r="AA45" s="90">
        <f t="shared" si="21"/>
        <v>0</v>
      </c>
      <c r="AB45" s="52">
        <v>10</v>
      </c>
      <c r="AC45" s="53">
        <v>7</v>
      </c>
      <c r="AD45" s="50"/>
      <c r="AE45" s="71">
        <f t="shared" si="35"/>
        <v>17</v>
      </c>
      <c r="AF45" s="54">
        <v>27</v>
      </c>
      <c r="AG45" s="51">
        <f t="shared" si="36"/>
        <v>8.8000000000000007</v>
      </c>
      <c r="AH45" s="73">
        <f t="shared" si="37"/>
        <v>17.600000000000001</v>
      </c>
      <c r="AI45" s="19" t="str">
        <f t="shared" si="38"/>
        <v>ضعيف</v>
      </c>
      <c r="AJ45" s="80">
        <f t="shared" si="39"/>
        <v>8.8000000000000007</v>
      </c>
      <c r="AK45" s="22" t="str">
        <f t="shared" si="40"/>
        <v>ضعيف</v>
      </c>
      <c r="AL45" s="90">
        <f t="shared" si="22"/>
        <v>0</v>
      </c>
      <c r="AM45" s="90">
        <f t="shared" si="19"/>
        <v>0</v>
      </c>
      <c r="AN45" s="90">
        <f t="shared" si="19"/>
        <v>0</v>
      </c>
      <c r="AO45" s="90">
        <f t="shared" si="23"/>
        <v>0</v>
      </c>
    </row>
    <row spans="1:41" r="46" thickBot="1" ht="17.25">
      <c r="A46" s="2">
        <v>39</v>
      </c>
      <c r="B46" s="46"/>
      <c r="C46" s="47"/>
      <c r="D46" s="52"/>
      <c r="E46" s="53"/>
      <c r="F46" s="50"/>
      <c r="G46" s="96" t="str">
        <f t="shared" si="24"/>
        <v xml:space="preserve"> </v>
      </c>
      <c r="H46" s="54"/>
      <c r="I46" s="98" t="str">
        <f t="shared" si="1"/>
        <v xml:space="preserve"> </v>
      </c>
      <c r="J46" s="101" t="str">
        <f t="shared" si="25"/>
        <v xml:space="preserve"> </v>
      </c>
      <c r="K46" s="102" t="str">
        <f t="shared" si="26"/>
        <v>غائب</v>
      </c>
      <c r="L46" s="91">
        <f t="shared" si="27"/>
        <v>0</v>
      </c>
      <c r="M46" s="91">
        <f t="shared" si="28"/>
        <v>0</v>
      </c>
      <c r="N46" s="91">
        <f t="shared" si="29"/>
        <v>0</v>
      </c>
      <c r="O46" s="91">
        <f t="shared" si="30"/>
        <v>0</v>
      </c>
      <c r="P46" s="74"/>
      <c r="Q46" s="53"/>
      <c r="R46" s="50"/>
      <c r="S46" s="71" t="str">
        <f t="shared" si="31"/>
        <v/>
      </c>
      <c r="T46" s="72"/>
      <c r="U46" s="51" t="str">
        <f t="shared" si="32"/>
        <v/>
      </c>
      <c r="V46" s="73" t="str">
        <f t="shared" si="33"/>
        <v xml:space="preserve"> </v>
      </c>
      <c r="W46" s="22" t="str">
        <f t="shared" si="34"/>
        <v>غائب</v>
      </c>
      <c r="X46" s="90">
        <f t="shared" si="41"/>
        <v>0</v>
      </c>
      <c r="Y46" s="90">
        <f t="shared" si="12"/>
        <v>0</v>
      </c>
      <c r="Z46" s="90">
        <f t="shared" si="12"/>
        <v>0</v>
      </c>
      <c r="AA46" s="90">
        <f t="shared" si="21"/>
        <v>0</v>
      </c>
      <c r="AB46" s="74"/>
      <c r="AC46" s="53"/>
      <c r="AD46" s="50"/>
      <c r="AE46" s="71" t="str">
        <f t="shared" si="35"/>
        <v/>
      </c>
      <c r="AF46" s="54"/>
      <c r="AG46" s="51" t="str">
        <f t="shared" si="36"/>
        <v/>
      </c>
      <c r="AH46" s="73" t="str">
        <f t="shared" si="37"/>
        <v xml:space="preserve"> </v>
      </c>
      <c r="AI46" s="19" t="str">
        <f t="shared" si="38"/>
        <v>غائب</v>
      </c>
      <c r="AJ46" s="80" t="str">
        <f t="shared" si="39"/>
        <v xml:space="preserve"> </v>
      </c>
      <c r="AK46" s="22" t="str">
        <f t="shared" si="40"/>
        <v>غائب</v>
      </c>
      <c r="AL46" s="90">
        <f t="shared" si="22"/>
        <v>0</v>
      </c>
      <c r="AM46" s="90">
        <f t="shared" si="19"/>
        <v>0</v>
      </c>
      <c r="AN46" s="90">
        <f t="shared" si="19"/>
        <v>0</v>
      </c>
      <c r="AO46" s="90">
        <f t="shared" si="23"/>
        <v>0</v>
      </c>
    </row>
    <row spans="1:41" r="47" thickBot="1" ht="17.25">
      <c r="A47" s="2">
        <v>40</v>
      </c>
      <c r="B47" s="46"/>
      <c r="C47" s="47"/>
      <c r="D47" s="52"/>
      <c r="E47" s="53"/>
      <c r="F47" s="50"/>
      <c r="G47" s="96" t="str">
        <f t="shared" si="24"/>
        <v xml:space="preserve"> </v>
      </c>
      <c r="H47" s="54"/>
      <c r="I47" s="98" t="str">
        <f t="shared" si="1"/>
        <v xml:space="preserve"> </v>
      </c>
      <c r="J47" s="101" t="str">
        <f t="shared" si="25"/>
        <v xml:space="preserve"> </v>
      </c>
      <c r="K47" s="102" t="str">
        <f t="shared" si="26"/>
        <v>غائب</v>
      </c>
      <c r="L47" s="91">
        <f t="shared" si="27"/>
        <v>0</v>
      </c>
      <c r="M47" s="91">
        <f t="shared" si="28"/>
        <v>0</v>
      </c>
      <c r="N47" s="91">
        <f t="shared" si="29"/>
        <v>0</v>
      </c>
      <c r="O47" s="91">
        <f t="shared" si="30"/>
        <v>0</v>
      </c>
      <c r="P47" s="74"/>
      <c r="Q47" s="53"/>
      <c r="R47" s="50"/>
      <c r="S47" s="71" t="str">
        <f t="shared" si="31"/>
        <v/>
      </c>
      <c r="T47" s="72"/>
      <c r="U47" s="51" t="str">
        <f t="shared" si="32"/>
        <v/>
      </c>
      <c r="V47" s="73" t="str">
        <f t="shared" si="33"/>
        <v xml:space="preserve"> </v>
      </c>
      <c r="W47" s="22" t="str">
        <f t="shared" si="34"/>
        <v>غائب</v>
      </c>
      <c r="X47" s="90">
        <f t="shared" si="41"/>
        <v>0</v>
      </c>
      <c r="Y47" s="90">
        <f t="shared" si="12"/>
        <v>0</v>
      </c>
      <c r="Z47" s="90">
        <f t="shared" si="12"/>
        <v>0</v>
      </c>
      <c r="AA47" s="90">
        <f t="shared" si="21"/>
        <v>0</v>
      </c>
      <c r="AB47" s="74"/>
      <c r="AC47" s="53"/>
      <c r="AD47" s="50"/>
      <c r="AE47" s="71" t="str">
        <f t="shared" si="35"/>
        <v/>
      </c>
      <c r="AF47" s="54"/>
      <c r="AG47" s="51" t="str">
        <f t="shared" si="36"/>
        <v/>
      </c>
      <c r="AH47" s="73" t="str">
        <f t="shared" si="37"/>
        <v xml:space="preserve"> </v>
      </c>
      <c r="AI47" s="19" t="str">
        <f t="shared" si="38"/>
        <v>غائب</v>
      </c>
      <c r="AJ47" s="80" t="str">
        <f t="shared" si="39"/>
        <v xml:space="preserve"> </v>
      </c>
      <c r="AK47" s="22" t="str">
        <f t="shared" si="40"/>
        <v>غائب</v>
      </c>
      <c r="AL47" s="90">
        <f t="shared" si="22"/>
        <v>0</v>
      </c>
      <c r="AM47" s="90">
        <f t="shared" si="19"/>
        <v>0</v>
      </c>
      <c r="AN47" s="90">
        <f t="shared" si="19"/>
        <v>0</v>
      </c>
      <c r="AO47" s="90">
        <f t="shared" si="23"/>
        <v>0</v>
      </c>
    </row>
    <row spans="1:41" r="48" thickBot="1" ht="17.25">
      <c r="A48" s="2">
        <v>41</v>
      </c>
      <c r="B48" s="46"/>
      <c r="C48" s="47"/>
      <c r="D48" s="52"/>
      <c r="E48" s="53"/>
      <c r="F48" s="50"/>
      <c r="G48" s="96" t="str">
        <f t="shared" si="24"/>
        <v xml:space="preserve"> </v>
      </c>
      <c r="H48" s="54"/>
      <c r="I48" s="98" t="str">
        <f t="shared" si="1"/>
        <v xml:space="preserve"> </v>
      </c>
      <c r="J48" s="101" t="str">
        <f t="shared" si="25"/>
        <v xml:space="preserve"> </v>
      </c>
      <c r="K48" s="102" t="str">
        <f t="shared" si="26"/>
        <v>غائب</v>
      </c>
      <c r="L48" s="91">
        <f t="shared" si="27"/>
        <v>0</v>
      </c>
      <c r="M48" s="91">
        <f t="shared" si="28"/>
        <v>0</v>
      </c>
      <c r="N48" s="91">
        <f t="shared" si="29"/>
        <v>0</v>
      </c>
      <c r="O48" s="91">
        <f t="shared" si="30"/>
        <v>0</v>
      </c>
      <c r="P48" s="74"/>
      <c r="Q48" s="53"/>
      <c r="R48" s="50"/>
      <c r="S48" s="71" t="str">
        <f t="shared" si="31"/>
        <v/>
      </c>
      <c r="T48" s="72"/>
      <c r="U48" s="51" t="str">
        <f t="shared" si="32"/>
        <v/>
      </c>
      <c r="V48" s="73" t="str">
        <f t="shared" si="33"/>
        <v xml:space="preserve"> </v>
      </c>
      <c r="W48" s="22" t="str">
        <f t="shared" si="34"/>
        <v>غائب</v>
      </c>
      <c r="X48" s="90">
        <f t="shared" si="41"/>
        <v>0</v>
      </c>
      <c r="Y48" s="90">
        <f t="shared" si="12"/>
        <v>0</v>
      </c>
      <c r="Z48" s="90">
        <f t="shared" si="12"/>
        <v>0</v>
      </c>
      <c r="AA48" s="90">
        <f t="shared" si="21"/>
        <v>0</v>
      </c>
      <c r="AB48" s="74"/>
      <c r="AC48" s="53"/>
      <c r="AD48" s="50"/>
      <c r="AE48" s="71" t="str">
        <f t="shared" si="35"/>
        <v/>
      </c>
      <c r="AF48" s="54"/>
      <c r="AG48" s="51" t="str">
        <f t="shared" si="36"/>
        <v/>
      </c>
      <c r="AH48" s="73" t="str">
        <f t="shared" si="37"/>
        <v xml:space="preserve"> </v>
      </c>
      <c r="AI48" s="19" t="str">
        <f t="shared" si="38"/>
        <v>غائب</v>
      </c>
      <c r="AJ48" s="80" t="str">
        <f t="shared" si="39"/>
        <v xml:space="preserve"> </v>
      </c>
      <c r="AK48" s="22" t="str">
        <f t="shared" si="40"/>
        <v>غائب</v>
      </c>
      <c r="AL48" s="90">
        <f t="shared" si="22"/>
        <v>0</v>
      </c>
      <c r="AM48" s="90">
        <f t="shared" si="19"/>
        <v>0</v>
      </c>
      <c r="AN48" s="90">
        <f t="shared" si="19"/>
        <v>0</v>
      </c>
      <c r="AO48" s="90">
        <f t="shared" si="23"/>
        <v>0</v>
      </c>
    </row>
    <row spans="1:41" r="49" thickBot="1" ht="17.25">
      <c r="A49" s="2">
        <v>42</v>
      </c>
      <c r="B49" s="46"/>
      <c r="C49" s="47"/>
      <c r="D49" s="52"/>
      <c r="E49" s="53"/>
      <c r="F49" s="50"/>
      <c r="G49" s="96" t="str">
        <f t="shared" si="24"/>
        <v xml:space="preserve"> </v>
      </c>
      <c r="H49" s="54"/>
      <c r="I49" s="98" t="str">
        <f t="shared" si="1"/>
        <v xml:space="preserve"> </v>
      </c>
      <c r="J49" s="101" t="str">
        <f t="shared" si="25"/>
        <v xml:space="preserve"> </v>
      </c>
      <c r="K49" s="102" t="str">
        <f t="shared" si="26"/>
        <v>غائب</v>
      </c>
      <c r="L49" s="91">
        <f t="shared" si="27"/>
        <v>0</v>
      </c>
      <c r="M49" s="91">
        <f t="shared" si="28"/>
        <v>0</v>
      </c>
      <c r="N49" s="91">
        <f t="shared" si="29"/>
        <v>0</v>
      </c>
      <c r="O49" s="91">
        <f t="shared" si="30"/>
        <v>0</v>
      </c>
      <c r="P49" s="74"/>
      <c r="Q49" s="53"/>
      <c r="R49" s="50"/>
      <c r="S49" s="71" t="str">
        <f t="shared" si="31"/>
        <v/>
      </c>
      <c r="T49" s="72"/>
      <c r="U49" s="51" t="str">
        <f t="shared" si="32"/>
        <v/>
      </c>
      <c r="V49" s="73" t="str">
        <f t="shared" si="33"/>
        <v xml:space="preserve"> </v>
      </c>
      <c r="W49" s="22" t="str">
        <f t="shared" si="34"/>
        <v>غائب</v>
      </c>
      <c r="X49" s="90">
        <f t="shared" si="41"/>
        <v>0</v>
      </c>
      <c r="Y49" s="90">
        <f t="shared" si="12"/>
        <v>0</v>
      </c>
      <c r="Z49" s="90">
        <f t="shared" si="12"/>
        <v>0</v>
      </c>
      <c r="AA49" s="90">
        <f t="shared" si="21"/>
        <v>0</v>
      </c>
      <c r="AB49" s="74"/>
      <c r="AC49" s="53"/>
      <c r="AD49" s="50"/>
      <c r="AE49" s="71" t="str">
        <f t="shared" si="35"/>
        <v/>
      </c>
      <c r="AF49" s="54"/>
      <c r="AG49" s="51" t="str">
        <f t="shared" si="36"/>
        <v/>
      </c>
      <c r="AH49" s="73" t="str">
        <f t="shared" si="37"/>
        <v xml:space="preserve"> </v>
      </c>
      <c r="AI49" s="19" t="str">
        <f t="shared" si="38"/>
        <v>غائب</v>
      </c>
      <c r="AJ49" s="80" t="str">
        <f t="shared" si="39"/>
        <v xml:space="preserve"> </v>
      </c>
      <c r="AK49" s="22" t="str">
        <f t="shared" si="40"/>
        <v>غائب</v>
      </c>
      <c r="AL49" s="90">
        <f t="shared" si="22"/>
        <v>0</v>
      </c>
      <c r="AM49" s="90">
        <f t="shared" si="19"/>
        <v>0</v>
      </c>
      <c r="AN49" s="90">
        <f t="shared" si="19"/>
        <v>0</v>
      </c>
      <c r="AO49" s="90">
        <f t="shared" si="23"/>
        <v>0</v>
      </c>
    </row>
    <row spans="1:41" r="50" thickBot="1" ht="17.25">
      <c r="A50" s="2">
        <v>43</v>
      </c>
      <c r="B50" s="46"/>
      <c r="C50" s="47"/>
      <c r="D50" s="52"/>
      <c r="E50" s="53"/>
      <c r="F50" s="50"/>
      <c r="G50" s="96" t="str">
        <f t="shared" si="24"/>
        <v xml:space="preserve"> </v>
      </c>
      <c r="H50" s="54"/>
      <c r="I50" s="98" t="str">
        <f t="shared" si="1"/>
        <v xml:space="preserve"> </v>
      </c>
      <c r="J50" s="101" t="str">
        <f t="shared" si="25"/>
        <v xml:space="preserve"> </v>
      </c>
      <c r="K50" s="102" t="str">
        <f t="shared" si="26"/>
        <v>غائب</v>
      </c>
      <c r="L50" s="91">
        <f t="shared" si="27"/>
        <v>0</v>
      </c>
      <c r="M50" s="91">
        <f t="shared" si="28"/>
        <v>0</v>
      </c>
      <c r="N50" s="91">
        <f t="shared" si="29"/>
        <v>0</v>
      </c>
      <c r="O50" s="91">
        <f t="shared" si="30"/>
        <v>0</v>
      </c>
      <c r="P50" s="74"/>
      <c r="Q50" s="53"/>
      <c r="R50" s="50"/>
      <c r="S50" s="71" t="str">
        <f t="shared" si="31"/>
        <v/>
      </c>
      <c r="T50" s="72"/>
      <c r="U50" s="51" t="str">
        <f t="shared" si="32"/>
        <v/>
      </c>
      <c r="V50" s="73" t="str">
        <f t="shared" si="33"/>
        <v xml:space="preserve"> </v>
      </c>
      <c r="W50" s="22" t="str">
        <f t="shared" si="34"/>
        <v>غائب</v>
      </c>
      <c r="X50" s="90">
        <f t="shared" si="41"/>
        <v>0</v>
      </c>
      <c r="Y50" s="90">
        <f t="shared" si="12"/>
        <v>0</v>
      </c>
      <c r="Z50" s="90">
        <f t="shared" si="12"/>
        <v>0</v>
      </c>
      <c r="AA50" s="90">
        <f t="shared" si="21"/>
        <v>0</v>
      </c>
      <c r="AB50" s="74"/>
      <c r="AC50" s="53"/>
      <c r="AD50" s="50"/>
      <c r="AE50" s="71" t="str">
        <f t="shared" si="35"/>
        <v/>
      </c>
      <c r="AF50" s="54"/>
      <c r="AG50" s="51" t="str">
        <f t="shared" si="36"/>
        <v/>
      </c>
      <c r="AH50" s="73" t="str">
        <f t="shared" si="37"/>
        <v xml:space="preserve"> </v>
      </c>
      <c r="AI50" s="19" t="str">
        <f t="shared" si="38"/>
        <v>غائب</v>
      </c>
      <c r="AJ50" s="80" t="str">
        <f t="shared" si="39"/>
        <v xml:space="preserve"> </v>
      </c>
      <c r="AK50" s="22" t="str">
        <f t="shared" si="40"/>
        <v>غائب</v>
      </c>
      <c r="AL50" s="90">
        <f t="shared" si="22"/>
        <v>0</v>
      </c>
      <c r="AM50" s="90">
        <f t="shared" si="19"/>
        <v>0</v>
      </c>
      <c r="AN50" s="90">
        <f t="shared" si="19"/>
        <v>0</v>
      </c>
      <c r="AO50" s="90">
        <f t="shared" si="23"/>
        <v>0</v>
      </c>
    </row>
    <row spans="1:41" r="51" thickBot="1" ht="17.25">
      <c r="A51" s="2">
        <v>44</v>
      </c>
      <c r="B51" s="46"/>
      <c r="C51" s="48"/>
      <c r="D51" s="52"/>
      <c r="E51" s="53"/>
      <c r="F51" s="50"/>
      <c r="G51" s="96" t="str">
        <f t="shared" si="24"/>
        <v xml:space="preserve"> </v>
      </c>
      <c r="H51" s="54"/>
      <c r="I51" s="98" t="str">
        <f t="shared" si="1"/>
        <v xml:space="preserve"> </v>
      </c>
      <c r="J51" s="101" t="str">
        <f t="shared" si="25"/>
        <v xml:space="preserve"> </v>
      </c>
      <c r="K51" s="102" t="str">
        <f t="shared" si="26"/>
        <v>غائب</v>
      </c>
      <c r="L51" s="91">
        <f t="shared" si="27"/>
        <v>0</v>
      </c>
      <c r="M51" s="91">
        <f t="shared" si="28"/>
        <v>0</v>
      </c>
      <c r="N51" s="91">
        <f t="shared" si="29"/>
        <v>0</v>
      </c>
      <c r="O51" s="91">
        <f t="shared" si="30"/>
        <v>0</v>
      </c>
      <c r="P51" s="74"/>
      <c r="Q51" s="53"/>
      <c r="R51" s="50"/>
      <c r="S51" s="71" t="str">
        <f t="shared" si="31"/>
        <v/>
      </c>
      <c r="T51" s="72"/>
      <c r="U51" s="51" t="str">
        <f t="shared" si="32"/>
        <v/>
      </c>
      <c r="V51" s="73" t="str">
        <f t="shared" si="33"/>
        <v xml:space="preserve"> </v>
      </c>
      <c r="W51" s="22" t="str">
        <f t="shared" si="34"/>
        <v>غائب</v>
      </c>
      <c r="X51" s="90">
        <f t="shared" si="41"/>
        <v>0</v>
      </c>
      <c r="Y51" s="90">
        <f t="shared" si="12"/>
        <v>0</v>
      </c>
      <c r="Z51" s="90">
        <f t="shared" si="12"/>
        <v>0</v>
      </c>
      <c r="AA51" s="90">
        <f t="shared" si="21"/>
        <v>0</v>
      </c>
      <c r="AB51" s="74"/>
      <c r="AC51" s="53"/>
      <c r="AD51" s="50"/>
      <c r="AE51" s="71" t="str">
        <f t="shared" si="35"/>
        <v/>
      </c>
      <c r="AF51" s="54"/>
      <c r="AG51" s="51" t="str">
        <f t="shared" si="36"/>
        <v/>
      </c>
      <c r="AH51" s="73" t="str">
        <f t="shared" si="37"/>
        <v xml:space="preserve"> </v>
      </c>
      <c r="AI51" s="19" t="str">
        <f t="shared" si="38"/>
        <v>غائب</v>
      </c>
      <c r="AJ51" s="80" t="str">
        <f t="shared" si="39"/>
        <v xml:space="preserve"> </v>
      </c>
      <c r="AK51" s="22" t="str">
        <f t="shared" si="40"/>
        <v>غائب</v>
      </c>
      <c r="AL51" s="90">
        <f t="shared" si="22"/>
        <v>0</v>
      </c>
      <c r="AM51" s="90">
        <f t="shared" si="19"/>
        <v>0</v>
      </c>
      <c r="AN51" s="90">
        <f t="shared" si="19"/>
        <v>0</v>
      </c>
      <c r="AO51" s="90">
        <f t="shared" si="23"/>
        <v>0</v>
      </c>
    </row>
    <row spans="1:41" r="52" thickBot="1" ht="17.25">
      <c r="A52" s="2">
        <v>45</v>
      </c>
      <c r="B52" s="46"/>
      <c r="C52" s="48"/>
      <c r="D52" s="52"/>
      <c r="E52" s="53"/>
      <c r="F52" s="50"/>
      <c r="G52" s="96" t="str">
        <f t="shared" si="24"/>
        <v xml:space="preserve"> </v>
      </c>
      <c r="H52" s="55"/>
      <c r="I52" s="98" t="str">
        <f t="shared" si="1"/>
        <v xml:space="preserve"> </v>
      </c>
      <c r="J52" s="101" t="str">
        <f t="shared" si="25"/>
        <v xml:space="preserve"> </v>
      </c>
      <c r="K52" s="102" t="str">
        <f t="shared" si="26"/>
        <v>غائب</v>
      </c>
      <c r="L52" s="91">
        <f t="shared" si="27"/>
        <v>0</v>
      </c>
      <c r="M52" s="91">
        <f t="shared" si="28"/>
        <v>0</v>
      </c>
      <c r="N52" s="91">
        <f t="shared" si="29"/>
        <v>0</v>
      </c>
      <c r="O52" s="91">
        <f t="shared" si="30"/>
        <v>0</v>
      </c>
      <c r="P52" s="74"/>
      <c r="Q52" s="53"/>
      <c r="R52" s="50"/>
      <c r="S52" s="71" t="str">
        <f t="shared" si="31"/>
        <v/>
      </c>
      <c r="T52" s="72"/>
      <c r="U52" s="51" t="str">
        <f t="shared" si="32"/>
        <v/>
      </c>
      <c r="V52" s="73" t="str">
        <f t="shared" si="33"/>
        <v xml:space="preserve"> </v>
      </c>
      <c r="W52" s="22" t="str">
        <f t="shared" si="34"/>
        <v>غائب</v>
      </c>
      <c r="X52" s="90">
        <f t="shared" si="41"/>
        <v>0</v>
      </c>
      <c r="Y52" s="90">
        <f t="shared" si="12"/>
        <v>0</v>
      </c>
      <c r="Z52" s="90">
        <f t="shared" si="12"/>
        <v>0</v>
      </c>
      <c r="AA52" s="90">
        <f t="shared" si="21"/>
        <v>0</v>
      </c>
      <c r="AB52" s="74"/>
      <c r="AC52" s="53"/>
      <c r="AD52" s="50"/>
      <c r="AE52" s="71" t="str">
        <f t="shared" si="35"/>
        <v/>
      </c>
      <c r="AF52" s="54"/>
      <c r="AG52" s="51" t="str">
        <f t="shared" si="36"/>
        <v/>
      </c>
      <c r="AH52" s="73" t="str">
        <f t="shared" si="37"/>
        <v xml:space="preserve"> </v>
      </c>
      <c r="AI52" s="19" t="str">
        <f t="shared" si="38"/>
        <v>غائب</v>
      </c>
      <c r="AJ52" s="80" t="str">
        <f t="shared" si="39"/>
        <v xml:space="preserve"> </v>
      </c>
      <c r="AK52" s="22" t="str">
        <f t="shared" si="40"/>
        <v>غائب</v>
      </c>
      <c r="AL52" s="90">
        <f t="shared" si="22"/>
        <v>0</v>
      </c>
      <c r="AM52" s="90">
        <f t="shared" si="19"/>
        <v>0</v>
      </c>
      <c r="AN52" s="90">
        <f t="shared" si="19"/>
        <v>0</v>
      </c>
      <c r="AO52" s="90">
        <f t="shared" si="23"/>
        <v>0</v>
      </c>
    </row>
    <row spans="1:41" r="53" thickBot="1" ht="15.75">
      <c r="A53" s="2">
        <v>46</v>
      </c>
      <c r="B53" s="36"/>
      <c r="C53" s="37"/>
      <c r="D53" s="56"/>
      <c r="E53" s="53"/>
      <c r="F53" s="50"/>
      <c r="G53" s="96" t="str">
        <f t="shared" si="24"/>
        <v xml:space="preserve"> </v>
      </c>
      <c r="H53" s="54"/>
      <c r="I53" s="98" t="str">
        <f t="shared" si="1"/>
        <v xml:space="preserve"> </v>
      </c>
      <c r="J53" s="101" t="str">
        <f t="shared" si="25"/>
        <v xml:space="preserve"> </v>
      </c>
      <c r="K53" s="102" t="str">
        <f t="shared" si="26"/>
        <v>غائب</v>
      </c>
      <c r="L53" s="91">
        <f t="shared" si="27"/>
        <v>0</v>
      </c>
      <c r="M53" s="91">
        <f t="shared" si="28"/>
        <v>0</v>
      </c>
      <c r="N53" s="91">
        <f t="shared" si="29"/>
        <v>0</v>
      </c>
      <c r="O53" s="91">
        <f t="shared" si="30"/>
        <v>0</v>
      </c>
      <c r="P53" s="74"/>
      <c r="Q53" s="53"/>
      <c r="R53" s="50"/>
      <c r="S53" s="71" t="str">
        <f t="shared" si="31"/>
        <v/>
      </c>
      <c r="T53" s="72"/>
      <c r="U53" s="51" t="str">
        <f t="shared" si="32"/>
        <v/>
      </c>
      <c r="V53" s="73" t="str">
        <f t="shared" si="33"/>
        <v xml:space="preserve"> </v>
      </c>
      <c r="W53" s="22" t="str">
        <f t="shared" si="34"/>
        <v>غائب</v>
      </c>
      <c r="X53" s="90">
        <f t="shared" si="41"/>
        <v>0</v>
      </c>
      <c r="Y53" s="90">
        <f t="shared" si="12"/>
        <v>0</v>
      </c>
      <c r="Z53" s="90">
        <f t="shared" si="12"/>
        <v>0</v>
      </c>
      <c r="AA53" s="90">
        <f t="shared" si="21"/>
        <v>0</v>
      </c>
      <c r="AB53" s="74"/>
      <c r="AC53" s="53"/>
      <c r="AD53" s="50"/>
      <c r="AE53" s="71" t="str">
        <f t="shared" si="35"/>
        <v/>
      </c>
      <c r="AF53" s="54"/>
      <c r="AG53" s="51" t="str">
        <f t="shared" si="36"/>
        <v/>
      </c>
      <c r="AH53" s="73" t="str">
        <f t="shared" si="37"/>
        <v xml:space="preserve"> </v>
      </c>
      <c r="AI53" s="19" t="str">
        <f t="shared" si="38"/>
        <v>غائب</v>
      </c>
      <c r="AJ53" s="80" t="str">
        <f t="shared" si="39"/>
        <v xml:space="preserve"> </v>
      </c>
      <c r="AK53" s="22" t="str">
        <f t="shared" si="40"/>
        <v>غائب</v>
      </c>
      <c r="AL53" s="90">
        <f t="shared" si="22"/>
        <v>0</v>
      </c>
      <c r="AM53" s="90">
        <f t="shared" si="19"/>
        <v>0</v>
      </c>
      <c r="AN53" s="90">
        <f t="shared" si="19"/>
        <v>0</v>
      </c>
      <c r="AO53" s="90">
        <f t="shared" si="23"/>
        <v>0</v>
      </c>
    </row>
    <row spans="1:41" r="54" thickBot="1" ht="15.75">
      <c r="A54" s="2">
        <v>47</v>
      </c>
      <c r="B54" s="36"/>
      <c r="C54" s="38"/>
      <c r="D54" s="56"/>
      <c r="E54" s="53"/>
      <c r="F54" s="50"/>
      <c r="G54" s="96" t="str">
        <f t="shared" si="24"/>
        <v xml:space="preserve"> </v>
      </c>
      <c r="H54" s="54"/>
      <c r="I54" s="98" t="str">
        <f t="shared" si="1"/>
        <v xml:space="preserve"> </v>
      </c>
      <c r="J54" s="101" t="str">
        <f t="shared" si="25"/>
        <v xml:space="preserve"> </v>
      </c>
      <c r="K54" s="102" t="str">
        <f t="shared" si="26"/>
        <v>غائب</v>
      </c>
      <c r="L54" s="91">
        <f t="shared" si="27"/>
        <v>0</v>
      </c>
      <c r="M54" s="91">
        <f t="shared" si="28"/>
        <v>0</v>
      </c>
      <c r="N54" s="91">
        <f t="shared" si="29"/>
        <v>0</v>
      </c>
      <c r="O54" s="91">
        <f t="shared" si="30"/>
        <v>0</v>
      </c>
      <c r="P54" s="74"/>
      <c r="Q54" s="53"/>
      <c r="R54" s="50"/>
      <c r="S54" s="71" t="str">
        <f t="shared" si="31"/>
        <v/>
      </c>
      <c r="T54" s="72"/>
      <c r="U54" s="51" t="str">
        <f t="shared" si="32"/>
        <v/>
      </c>
      <c r="V54" s="73" t="str">
        <f t="shared" si="33"/>
        <v xml:space="preserve"> </v>
      </c>
      <c r="W54" s="22" t="str">
        <f t="shared" si="34"/>
        <v>غائب</v>
      </c>
      <c r="X54" s="90">
        <f t="shared" si="41"/>
        <v>0</v>
      </c>
      <c r="Y54" s="90">
        <f t="shared" si="12"/>
        <v>0</v>
      </c>
      <c r="Z54" s="90">
        <f t="shared" si="12"/>
        <v>0</v>
      </c>
      <c r="AA54" s="90">
        <f t="shared" si="21"/>
        <v>0</v>
      </c>
      <c r="AB54" s="74"/>
      <c r="AC54" s="53"/>
      <c r="AD54" s="50"/>
      <c r="AE54" s="71" t="str">
        <f t="shared" si="35"/>
        <v/>
      </c>
      <c r="AF54" s="54"/>
      <c r="AG54" s="51" t="str">
        <f t="shared" si="36"/>
        <v/>
      </c>
      <c r="AH54" s="73" t="str">
        <f t="shared" si="37"/>
        <v xml:space="preserve"> </v>
      </c>
      <c r="AI54" s="19" t="str">
        <f t="shared" si="38"/>
        <v>غائب</v>
      </c>
      <c r="AJ54" s="80" t="str">
        <f t="shared" si="39"/>
        <v xml:space="preserve"> </v>
      </c>
      <c r="AK54" s="22" t="str">
        <f t="shared" si="40"/>
        <v>غائب</v>
      </c>
      <c r="AL54" s="90">
        <f t="shared" si="22"/>
        <v>0</v>
      </c>
      <c r="AM54" s="90">
        <f t="shared" si="19"/>
        <v>0</v>
      </c>
      <c r="AN54" s="90">
        <f t="shared" si="19"/>
        <v>0</v>
      </c>
      <c r="AO54" s="90">
        <f t="shared" si="23"/>
        <v>0</v>
      </c>
    </row>
    <row spans="1:41" r="55" thickBot="1" ht="15.75">
      <c r="A55" s="2">
        <v>48</v>
      </c>
      <c r="B55" s="31"/>
      <c r="C55" s="38"/>
      <c r="D55" s="56"/>
      <c r="E55" s="53"/>
      <c r="F55" s="50"/>
      <c r="G55" s="96" t="str">
        <f t="shared" si="24"/>
        <v xml:space="preserve"> </v>
      </c>
      <c r="H55" s="54"/>
      <c r="I55" s="98" t="str">
        <f t="shared" si="1"/>
        <v xml:space="preserve"> </v>
      </c>
      <c r="J55" s="101" t="str">
        <f t="shared" si="25"/>
        <v xml:space="preserve"> </v>
      </c>
      <c r="K55" s="102" t="str">
        <f t="shared" si="26"/>
        <v>غائب</v>
      </c>
      <c r="L55" s="91">
        <f t="shared" si="27"/>
        <v>0</v>
      </c>
      <c r="M55" s="91">
        <f t="shared" si="28"/>
        <v>0</v>
      </c>
      <c r="N55" s="91">
        <f t="shared" si="29"/>
        <v>0</v>
      </c>
      <c r="O55" s="91">
        <f t="shared" si="30"/>
        <v>0</v>
      </c>
      <c r="P55" s="74"/>
      <c r="Q55" s="53"/>
      <c r="R55" s="50"/>
      <c r="S55" s="71" t="str">
        <f t="shared" si="31"/>
        <v/>
      </c>
      <c r="T55" s="72"/>
      <c r="U55" s="51" t="str">
        <f t="shared" si="32"/>
        <v/>
      </c>
      <c r="V55" s="73" t="str">
        <f t="shared" si="33"/>
        <v xml:space="preserve"> </v>
      </c>
      <c r="W55" s="22" t="str">
        <f t="shared" si="34"/>
        <v>غائب</v>
      </c>
      <c r="X55" s="90">
        <f t="shared" si="41"/>
        <v>0</v>
      </c>
      <c r="Y55" s="90">
        <f t="shared" si="12"/>
        <v>0</v>
      </c>
      <c r="Z55" s="90">
        <f t="shared" si="12"/>
        <v>0</v>
      </c>
      <c r="AA55" s="90">
        <f t="shared" si="21"/>
        <v>0</v>
      </c>
      <c r="AB55" s="74"/>
      <c r="AC55" s="53"/>
      <c r="AD55" s="50"/>
      <c r="AE55" s="71" t="str">
        <f t="shared" si="35"/>
        <v/>
      </c>
      <c r="AF55" s="54"/>
      <c r="AG55" s="51" t="str">
        <f t="shared" si="36"/>
        <v/>
      </c>
      <c r="AH55" s="73" t="str">
        <f t="shared" si="37"/>
        <v xml:space="preserve"> </v>
      </c>
      <c r="AI55" s="19" t="str">
        <f t="shared" si="38"/>
        <v>غائب</v>
      </c>
      <c r="AJ55" s="80" t="str">
        <f t="shared" si="39"/>
        <v xml:space="preserve"> </v>
      </c>
      <c r="AK55" s="22" t="str">
        <f t="shared" si="40"/>
        <v>غائب</v>
      </c>
      <c r="AL55" s="90">
        <f t="shared" si="22"/>
        <v>0</v>
      </c>
      <c r="AM55" s="90">
        <f t="shared" si="19"/>
        <v>0</v>
      </c>
      <c r="AN55" s="90">
        <f t="shared" si="19"/>
        <v>0</v>
      </c>
      <c r="AO55" s="90">
        <f t="shared" si="23"/>
        <v>0</v>
      </c>
    </row>
    <row spans="1:41" r="56" thickBot="1" ht="15.75">
      <c r="A56" s="2">
        <v>49</v>
      </c>
      <c r="B56" s="31"/>
      <c r="C56" s="38"/>
      <c r="D56" s="56"/>
      <c r="E56" s="53"/>
      <c r="F56" s="50"/>
      <c r="G56" s="96" t="str">
        <f t="shared" si="24"/>
        <v/>
      </c>
      <c r="H56" s="54"/>
      <c r="I56" s="98" t="str">
        <f t="shared" si="1"/>
        <v xml:space="preserve"> </v>
      </c>
      <c r="J56" s="101" t="str">
        <f t="shared" si="25"/>
        <v xml:space="preserve"> </v>
      </c>
      <c r="K56" s="102" t="str">
        <f t="shared" si="26"/>
        <v>غائب</v>
      </c>
      <c r="L56" s="91">
        <f t="shared" si="27"/>
        <v>0</v>
      </c>
      <c r="M56" s="91">
        <f t="shared" si="28"/>
        <v>0</v>
      </c>
      <c r="N56" s="91">
        <f t="shared" si="29"/>
        <v>0</v>
      </c>
      <c r="O56" s="91">
        <f t="shared" si="30"/>
        <v>0</v>
      </c>
      <c r="P56" s="74"/>
      <c r="Q56" s="53"/>
      <c r="R56" s="50"/>
      <c r="S56" s="71" t="str">
        <f t="shared" si="31"/>
        <v/>
      </c>
      <c r="T56" s="72"/>
      <c r="U56" s="51" t="str">
        <f t="shared" si="32"/>
        <v/>
      </c>
      <c r="V56" s="73" t="str">
        <f t="shared" si="33"/>
        <v xml:space="preserve"> </v>
      </c>
      <c r="W56" s="22" t="str">
        <f t="shared" si="34"/>
        <v>غائب</v>
      </c>
      <c r="X56" s="90">
        <f t="shared" si="41"/>
        <v>0</v>
      </c>
      <c r="Y56" s="90">
        <f t="shared" si="12"/>
        <v>0</v>
      </c>
      <c r="Z56" s="90">
        <f t="shared" si="12"/>
        <v>0</v>
      </c>
      <c r="AA56" s="90">
        <f t="shared" si="21"/>
        <v>0</v>
      </c>
      <c r="AB56" s="74"/>
      <c r="AC56" s="53"/>
      <c r="AD56" s="50"/>
      <c r="AE56" s="71" t="str">
        <f t="shared" si="35"/>
        <v/>
      </c>
      <c r="AF56" s="54"/>
      <c r="AG56" s="51" t="str">
        <f t="shared" si="36"/>
        <v xml:space="preserve"> </v>
      </c>
      <c r="AH56" s="73" t="str">
        <f t="shared" si="37"/>
        <v xml:space="preserve"> </v>
      </c>
      <c r="AI56" s="19" t="str">
        <f t="shared" si="38"/>
        <v>غائب</v>
      </c>
      <c r="AJ56" s="80" t="str">
        <f t="shared" si="39"/>
        <v xml:space="preserve"> </v>
      </c>
      <c r="AK56" s="22" t="str">
        <f t="shared" si="40"/>
        <v>غائب</v>
      </c>
      <c r="AL56" s="90">
        <f t="shared" si="22"/>
        <v>0</v>
      </c>
      <c r="AM56" s="90">
        <f t="shared" si="19"/>
        <v>0</v>
      </c>
      <c r="AN56" s="90">
        <f t="shared" si="19"/>
        <v>0</v>
      </c>
      <c r="AO56" s="90">
        <f t="shared" si="23"/>
        <v>0</v>
      </c>
    </row>
    <row spans="1:41" r="57" thickBot="1" ht="15.75">
      <c r="A57" s="2">
        <v>50</v>
      </c>
      <c r="B57" s="31"/>
      <c r="C57" s="38"/>
      <c r="D57" s="57"/>
      <c r="E57" s="58"/>
      <c r="F57" s="59"/>
      <c r="G57" s="97" t="str">
        <f t="shared" si="24"/>
        <v/>
      </c>
      <c r="H57" s="60"/>
      <c r="I57" s="103" t="str">
        <f t="shared" si="1"/>
        <v xml:space="preserve"> </v>
      </c>
      <c r="J57" s="103" t="str">
        <f t="shared" si="25"/>
        <v xml:space="preserve"> </v>
      </c>
      <c r="K57" s="104" t="str">
        <f t="shared" si="26"/>
        <v>غائب</v>
      </c>
      <c r="L57" s="91">
        <f t="shared" si="27"/>
        <v>0</v>
      </c>
      <c r="M57" s="91">
        <f t="shared" si="28"/>
        <v>0</v>
      </c>
      <c r="N57" s="91">
        <f t="shared" si="29"/>
        <v>0</v>
      </c>
      <c r="O57" s="91">
        <f t="shared" si="30"/>
        <v>0</v>
      </c>
      <c r="P57" s="75"/>
      <c r="Q57" s="58"/>
      <c r="R57" s="59"/>
      <c r="S57" s="76" t="str">
        <f t="shared" si="31"/>
        <v/>
      </c>
      <c r="T57" s="77"/>
      <c r="U57" s="61" t="str">
        <f t="shared" si="32"/>
        <v/>
      </c>
      <c r="V57" s="78" t="str">
        <f t="shared" si="33"/>
        <v xml:space="preserve"> </v>
      </c>
      <c r="W57" s="23" t="str">
        <f t="shared" si="34"/>
        <v>غائب</v>
      </c>
      <c r="X57" s="90">
        <f t="shared" si="41"/>
        <v>0</v>
      </c>
      <c r="Y57" s="90">
        <f ref="Y57" t="shared" si="42">MOD(Q57,0.25)</f>
        <v>0</v>
      </c>
      <c r="Z57" s="90">
        <f ref="Z57" t="shared" si="43">MOD(R57,0.25)</f>
        <v>0</v>
      </c>
      <c r="AA57" s="90">
        <f>MOD(T57/3,0.25)</f>
        <v>0</v>
      </c>
      <c r="AB57" s="75"/>
      <c r="AC57" s="58"/>
      <c r="AD57" s="59"/>
      <c r="AE57" s="76" t="str">
        <f t="shared" si="35"/>
        <v/>
      </c>
      <c r="AF57" s="60"/>
      <c r="AG57" s="61" t="str">
        <f t="shared" si="36"/>
        <v/>
      </c>
      <c r="AH57" s="78" t="str">
        <f t="shared" si="37"/>
        <v xml:space="preserve"> </v>
      </c>
      <c r="AI57" s="20" t="str">
        <f t="shared" si="38"/>
        <v>غائب</v>
      </c>
      <c r="AJ57" s="81" t="str">
        <f t="shared" si="39"/>
        <v xml:space="preserve"> </v>
      </c>
      <c r="AK57" s="23" t="str">
        <f t="shared" si="40"/>
        <v>غائب</v>
      </c>
      <c r="AL57" s="90">
        <f t="shared" si="22"/>
        <v>0</v>
      </c>
      <c r="AM57" s="90">
        <f ref="AM57" t="shared" si="44">MOD(AC57,0.25)</f>
        <v>0</v>
      </c>
      <c r="AN57" s="90">
        <f ref="AN57" t="shared" si="45">MOD(AD57,0.25)</f>
        <v>0</v>
      </c>
      <c r="AO57" s="90">
        <f t="shared" si="23"/>
        <v>0</v>
      </c>
    </row>
    <row spans="1:41" r="58">
      <c r="F58" s="4"/>
    </row>
    <row spans="1:41" r="59">
      <c r="B59" s="105" t="s">
        <v>31</v>
      </c>
      <c r="C59" s="106">
        <f>COUNTIF(I8:I57,"&gt;=10")</f>
        <v>28</v>
      </c>
      <c r="D59" s="105" t="s">
        <v>32</v>
      </c>
      <c r="E59" s="107">
        <f>AVERAGE(C59/(C59+C60))</f>
        <v>0.73684210526315785</v>
      </c>
      <c r="F59" s="105" t="s">
        <v>33</v>
      </c>
      <c r="G59" s="108">
        <f>MAX(I8:I57)</f>
        <v>19.2</v>
      </c>
      <c r="H59" s="105" t="s">
        <v>34</v>
      </c>
      <c r="I59" s="109">
        <f>AVERAGEIF(I8:I57,"&gt;0")</f>
        <v>11.568421052631582</v>
      </c>
      <c r="J59" s="5"/>
      <c r="K59" s="29"/>
      <c r="P59" s="5" t="s">
        <v>31</v>
      </c>
      <c r="Q59" s="6">
        <f>COUNTIF(U8:U57,"&gt;=10")</f>
        <v>28</v>
      </c>
      <c r="R59" s="5" t="s">
        <v>32</v>
      </c>
      <c r="S59" s="9">
        <f>AVERAGE(Q59/(Q59+Q60))</f>
        <v>0.73684210526315785</v>
      </c>
      <c r="T59" s="5" t="s">
        <v>35</v>
      </c>
      <c r="U59" s="16">
        <f>MAX(U8:U57)</f>
        <v>19.2</v>
      </c>
      <c r="V59" s="5" t="s">
        <v>34</v>
      </c>
      <c r="W59" s="29">
        <f>AVERAGEIF(U8:U57,"&gt;0")</f>
        <v>11.568421052631582</v>
      </c>
      <c r="X59" s="29"/>
      <c r="Y59" s="29"/>
      <c r="Z59" s="29"/>
      <c r="AB59" s="5" t="s">
        <v>31</v>
      </c>
      <c r="AC59" s="6">
        <f>COUNTIF(AG8:AG57,"&gt;=10")</f>
        <v>28</v>
      </c>
      <c r="AE59" s="5" t="s">
        <v>32</v>
      </c>
      <c r="AF59" s="9">
        <f>AVERAGE(AC59/(AC59+AC60))</f>
        <v>0.73684210526315785</v>
      </c>
      <c r="AH59" s="5" t="s">
        <v>35</v>
      </c>
      <c r="AI59" s="16">
        <f>MAX(AG8:AG57)</f>
        <v>19.2</v>
      </c>
      <c r="AJ59" s="5" t="s">
        <v>34</v>
      </c>
      <c r="AK59" s="29">
        <f>AVERAGEIF(AG8:AG57,"&gt;0")</f>
        <v>11.571052631578949</v>
      </c>
    </row>
    <row spans="1:41" r="60">
      <c r="B60" s="105" t="s">
        <v>36</v>
      </c>
      <c r="C60" s="110">
        <f>COUNTIF(I8:I57,"&lt;10")</f>
        <v>10</v>
      </c>
      <c r="D60" s="105" t="s">
        <v>32</v>
      </c>
      <c r="E60" s="111">
        <f>AVERAGE(C60/(C59+C60))</f>
        <v>0.26315789473684209</v>
      </c>
      <c r="F60" s="105" t="s">
        <v>37</v>
      </c>
      <c r="G60" s="112">
        <f>MIN(I8:I57)</f>
        <v>3.4</v>
      </c>
      <c r="H60" s="105"/>
      <c r="I60" s="113"/>
      <c r="P60" s="5" t="s">
        <v>36</v>
      </c>
      <c r="Q60" s="7">
        <f>COUNTIF(U8:U57,"&lt;10")</f>
        <v>10</v>
      </c>
      <c r="R60" s="5" t="s">
        <v>32</v>
      </c>
      <c r="S60" s="10">
        <f>AVERAGE(Q60/(Q59+Q60))</f>
        <v>0.26315789473684209</v>
      </c>
      <c r="T60" s="5" t="s">
        <v>37</v>
      </c>
      <c r="U60" s="28">
        <f>MIN(U8:U57)</f>
        <v>3.4</v>
      </c>
      <c r="V60" s="28"/>
      <c r="W60" s="8"/>
      <c r="AB60" s="5" t="s">
        <v>36</v>
      </c>
      <c r="AC60" s="7">
        <f>COUNTIF(AG8:AG57,"&lt;10")</f>
        <v>10</v>
      </c>
      <c r="AE60" s="5" t="s">
        <v>32</v>
      </c>
      <c r="AF60" s="10">
        <f>AVERAGE(AC60/(AC59+AC60))</f>
        <v>0.26315789473684209</v>
      </c>
      <c r="AH60" s="5" t="s">
        <v>37</v>
      </c>
      <c r="AI60" s="28">
        <f>MIN(AG8:AG57)</f>
        <v>3.4</v>
      </c>
    </row>
    <row spans="1:41" r="61">
      <c r="I61" s="24"/>
      <c r="AH61" s="5"/>
    </row>
    <row spans="1:41" r="62">
      <c r="H62" s="5"/>
      <c r="V62" s="5"/>
      <c r="AD62" s="11" t="s">
        <v>38</v>
      </c>
      <c r="AF62" s="86" t="str">
        <f>HYPERLINK(C4)</f>
        <v>4م1</v>
      </c>
    </row>
    <row spans="1:41" r="63">
      <c r="AI63" s="16"/>
      <c r="AK63" s="17"/>
    </row>
    <row spans="1:41" r="64">
      <c r="H64" s="12"/>
      <c r="I64" s="24"/>
      <c r="AB64" s="5" t="s">
        <v>31</v>
      </c>
      <c r="AC64" s="6">
        <f>COUNTIF(AJ8:AJ57,"&gt;=10")</f>
        <v>28</v>
      </c>
      <c r="AE64" s="5" t="s">
        <v>32</v>
      </c>
      <c r="AF64" s="9">
        <f>AVERAGE(AC64/(AC64+AC65))</f>
        <v>0.73684210526315785</v>
      </c>
      <c r="AH64" t="s">
        <v>39</v>
      </c>
      <c r="AI64" s="16">
        <f>MAX(AJ12:AJ61)</f>
        <v>19.2</v>
      </c>
      <c r="AJ64" t="s">
        <v>40</v>
      </c>
      <c r="AK64" s="29">
        <f>AVERAGEIF(AJ8:AJ57,"&gt;0")</f>
        <v>11.569298245614037</v>
      </c>
    </row>
    <row spans="28:35" r="65">
      <c r="AB65" s="5" t="s">
        <v>36</v>
      </c>
      <c r="AC65" s="7">
        <f>COUNTIF(AJ8:AJ57,"&lt;10")</f>
        <v>10</v>
      </c>
      <c r="AE65" s="5" t="s">
        <v>32</v>
      </c>
      <c r="AF65" s="10">
        <f>AVERAGE(AC65/(AC64+AC65))</f>
        <v>0.26315789473684209</v>
      </c>
      <c r="AH65" s="30" t="s">
        <v>41</v>
      </c>
      <c r="AI65" s="28">
        <f>MIN(AJ12:AJ61)</f>
        <v>3.4</v>
      </c>
    </row>
  </sheetData>
  <sheetProtection autoFilter="0" spinCount="100000" saltValue="lxtn82rvktZnR6Fwksh1nA==" objects="1" sheet="1" scenarios="1" algorithmName="SHA-512" hashValue="0+2Oa4FeJy5G2L59vVFl4t9kIfHlSDXvs9zwKhP5p6kB+lNz3KzDi0s85+ScPmfilQvnyqCvPbHbk6L8LxfIuw=="/>
  <mergeCells count="11">
    <mergeCell ref="J4:K4"/>
    <mergeCell ref="V4:W4"/>
    <mergeCell ref="AJ4:AK4"/>
    <mergeCell ref="B6:J6"/>
    <mergeCell ref="Q6:V6"/>
    <mergeCell ref="AC6:AJ6"/>
    <mergeCell ref="C1:I1"/>
    <mergeCell ref="Q1:W1"/>
    <mergeCell ref="AC1:AI1"/>
    <mergeCell ref="C3:D3"/>
    <mergeCell ref="J3:K3"/>
  </mergeCells>
  <conditionalFormatting sqref="I8:I56">
    <cfRule dxfId="4" type="cellIs" priority="14" operator="between">
      <formula>9.7</formula>
      <formula>9.99</formula>
    </cfRule>
  </conditionalFormatting>
  <conditionalFormatting sqref="AG9:AG56">
    <cfRule dxfId="3" type="cellIs" priority="12" operator="between">
      <formula>9.7</formula>
      <formula>9.99</formula>
    </cfRule>
  </conditionalFormatting>
  <conditionalFormatting sqref="U9:U56">
    <cfRule dxfId="2" type="cellIs" priority="11" operator="between">
      <formula>9.7</formula>
      <formula>9.99</formula>
    </cfRule>
  </conditionalFormatting>
  <conditionalFormatting sqref="U8">
    <cfRule dxfId="1" type="cellIs" priority="10" operator="between">
      <formula>9.7</formula>
      <formula>9.99</formula>
    </cfRule>
  </conditionalFormatting>
  <conditionalFormatting sqref="AG8">
    <cfRule dxfId="0" type="cellIs" priority="9" operator="between">
      <formula>9.7</formula>
      <formula>9.99</formula>
    </cfRule>
  </conditionalFormatting>
  <pageMargins top="0.98402800000000001" left="0.78749999999999998" footer="0.49236099999999999" bottom="0.98402800000000001" header="0.49236099999999999" right="0.78749999999999998"/>
  <pageSetup orientation="portrait" fitToWidth="0" scale="67" r:id="rId1" paperSize="9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id="{2D27BE39-29EC-4A6C-A52D-41C3545E7117}" type="iconSet" priority="5">
            <x14:iconSet iconSet="3Symbols2" custom="1">
              <x14:cfvo type="percent">
                <xm:f>0</xm:f>
              </x14:cfvo>
              <x14:cfvo type="num">
                <xm:f>0</xm:f>
              </x14:cfvo>
              <x14:cfvo gte="0" type="num">
                <xm:f>0</xm:f>
              </x14:cfvo>
              <x14:cfIcon iconId="1" iconSet="3Symbols2"/>
              <x14:cfIcon iconId="2" iconSet="3Symbols2"/>
              <x14:cfIcon iconId="0" iconSet="3Symbols2"/>
            </x14:iconSet>
          </x14:cfRule>
          <xm:sqref>L8</xm:sqref>
        </x14:conditionalFormatting>
        <x14:conditionalFormatting xmlns:xm="http://schemas.microsoft.com/office/excel/2006/main">
          <x14:cfRule id="{8C276CBB-E2BB-4039-BEAA-4ED9DDDC967C}" type="iconSet" priority="4">
            <x14:iconSet iconSet="3Symbols2" custom="1">
              <x14:cfvo type="percent">
                <xm:f>0</xm:f>
              </x14:cfvo>
              <x14:cfvo type="num">
                <xm:f>0</xm:f>
              </x14:cfvo>
              <x14:cfvo gte="0" type="num">
                <xm:f>0</xm:f>
              </x14:cfvo>
              <x14:cfIcon iconId="1" iconSet="3Symbols2"/>
              <x14:cfIcon iconId="2" iconSet="3Symbols2"/>
              <x14:cfIcon iconId="0" iconSet="3Symbols2"/>
            </x14:iconSet>
          </x14:cfRule>
          <xm:sqref>M8:O57</xm:sqref>
        </x14:conditionalFormatting>
        <x14:conditionalFormatting xmlns:xm="http://schemas.microsoft.com/office/excel/2006/main">
          <x14:cfRule id="{EE2B0850-7E5C-4B2C-B0AF-B3C3807C5370}" type="iconSet" priority="3">
            <x14:iconSet iconSet="3Symbols2" custom="1">
              <x14:cfvo type="percent">
                <xm:f>0</xm:f>
              </x14:cfvo>
              <x14:cfvo type="num">
                <xm:f>0</xm:f>
              </x14:cfvo>
              <x14:cfvo gte="0" type="num">
                <xm:f>0</xm:f>
              </x14:cfvo>
              <x14:cfIcon iconId="1" iconSet="3Symbols2"/>
              <x14:cfIcon iconId="2" iconSet="3Symbols2"/>
              <x14:cfIcon iconId="0" iconSet="3Symbols2"/>
            </x14:iconSet>
          </x14:cfRule>
          <xm:sqref>L9:L57</xm:sqref>
        </x14:conditionalFormatting>
        <x14:conditionalFormatting xmlns:xm="http://schemas.microsoft.com/office/excel/2006/main">
          <x14:cfRule id="{428468D3-565F-4811-99E1-CB5F1A9F6AF1}" type="iconSet" priority="2">
            <x14:iconSet iconSet="3Symbols2" custom="1">
              <x14:cfvo type="percent">
                <xm:f>0</xm:f>
              </x14:cfvo>
              <x14:cfvo type="num">
                <xm:f>0</xm:f>
              </x14:cfvo>
              <x14:cfvo gte="0" type="num">
                <xm:f>0</xm:f>
              </x14:cfvo>
              <x14:cfIcon iconId="1" iconSet="3Symbols2"/>
              <x14:cfIcon iconId="2" iconSet="3Symbols2"/>
              <x14:cfIcon iconId="0" iconSet="3Symbols2"/>
            </x14:iconSet>
          </x14:cfRule>
          <xm:sqref>X8:AA57</xm:sqref>
        </x14:conditionalFormatting>
        <x14:conditionalFormatting xmlns:xm="http://schemas.microsoft.com/office/excel/2006/main">
          <x14:cfRule id="{7B878905-3BF0-4C8B-A16D-4DB2485F9855}" type="iconSet" priority="1">
            <x14:iconSet iconSet="3Symbols2" custom="1">
              <x14:cfvo type="percent">
                <xm:f>0</xm:f>
              </x14:cfvo>
              <x14:cfvo type="num">
                <xm:f>0</xm:f>
              </x14:cfvo>
              <x14:cfvo gte="0" type="num">
                <xm:f>0</xm:f>
              </x14:cfvo>
              <x14:cfIcon iconId="1" iconSet="3Symbols2"/>
              <x14:cfIcon iconId="2" iconSet="3Symbols2"/>
              <x14:cfIcon iconId="0" iconSet="3Symbols2"/>
            </x14:iconSet>
          </x14:cfRule>
          <xm:sqref>AL8:AO57</xm:sqref>
        </x14:conditionalFormatting>
      </x14:conditionalFormattings>
    </ext>
    <ext uri="smNativeData">
      <pm:sheetPrefs xmlns:pm="smNativeData" showHorizontalRuler="1" outlineProtect="1" day="1462819307" showVerticalRuler="1" showAltShade="0">
        <pm:shade bgClr="FFFFFF" fgClr="000000" bgLvl="100" id="0" type="0" fgLvl="100"/>
        <pm:shade bgClr="FFFFFF" fgClr="000000" bgLvl="100" id="1" type="0" fgLvl="100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60"/>
  <sheetViews>
    <sheetView rightToLeft="1" topLeftCell="A10" workbookViewId="0">
      <selection activeCell="Q23" sqref="Q23"/>
    </sheetView>
  </sheetViews>
  <sheetFormatPr baseColWidth="10" defaultColWidth="10.7109375" defaultRowHeight="15"/>
  <sheetData>
    <row r="2" spans="2:16">
      <c r="B2" t="s">
        <v>42</v>
      </c>
      <c r="D2" s="13">
        <f>COUNTIF('نتائج القسم'!I8:I57,"&gt;=0.00")-COUNTIF('نتائج القسم'!I8:I57,"&gt;05.00")</f>
        <v>1</v>
      </c>
      <c r="H2" t="s">
        <v>42</v>
      </c>
      <c r="J2" s="13">
        <f>COUNTIF('نتائج القسم'!U8:U57,"&gt;=0.00")-COUNTIF('نتائج القسم'!U8:U57,"&gt;05.00")</f>
        <v>1</v>
      </c>
      <c r="N2" t="s">
        <v>42</v>
      </c>
      <c r="P2" s="13">
        <f>COUNTIF('نتائج القسم'!AG8:AG57,"&gt;=0.00")-COUNTIF('نتائج القسم'!AG8:AG57,"&gt;05.00")</f>
        <v>1</v>
      </c>
    </row>
    <row r="3" spans="2:16">
      <c r="D3" s="13"/>
      <c r="J3" s="13"/>
      <c r="P3" s="13"/>
    </row>
    <row r="4" spans="2:16">
      <c r="B4" t="s">
        <v>43</v>
      </c>
      <c r="D4" s="13">
        <f>COUNTIF('نتائج القسم'!I8:I57,"&gt;=5.01")-COUNTIF('نتائج القسم'!I8:I57,"&gt;8.00")</f>
        <v>8</v>
      </c>
      <c r="H4" t="s">
        <v>43</v>
      </c>
      <c r="J4" s="13">
        <f>COUNTIF('نتائج القسم'!U8:U57,"&gt;=5.01")-COUNTIF('نتائج القسم'!U8:U57,"&gt;8.00")</f>
        <v>8</v>
      </c>
      <c r="N4" t="s">
        <v>43</v>
      </c>
      <c r="P4" s="13">
        <f>COUNTIF('نتائج القسم'!AG8:AG57,"&gt;=05.01")-COUNTIF('نتائج القسم'!AG8:AG57,"&gt;08.00")</f>
        <v>8</v>
      </c>
    </row>
    <row r="5" spans="2:16">
      <c r="D5" s="13"/>
      <c r="J5" s="13"/>
      <c r="P5" s="13"/>
    </row>
    <row r="6" spans="2:16">
      <c r="B6" t="s">
        <v>44</v>
      </c>
      <c r="D6" s="13">
        <f>COUNTIF('نتائج القسم'!I8:I57,"&gt;=8.01")-COUNTIF('نتائج القسم'!I8:I57,"&gt;9.99")</f>
        <v>1</v>
      </c>
      <c r="H6" t="s">
        <v>44</v>
      </c>
      <c r="J6" s="13">
        <f>COUNTIF('نتائج القسم'!U8:U57,"&gt;=8.01")-COUNTIF('نتائج القسم'!U8:U57,"&gt;9.99")</f>
        <v>1</v>
      </c>
      <c r="N6" t="s">
        <v>44</v>
      </c>
      <c r="P6" s="13">
        <f>COUNTIF('نتائج القسم'!AG8:AG57,"&gt;=08.01")-COUNTIF('نتائج القسم'!AG8:AG57,"&gt;09.99")</f>
        <v>1</v>
      </c>
    </row>
    <row r="7" spans="2:16">
      <c r="D7" s="13"/>
      <c r="J7" s="13"/>
      <c r="P7" s="13"/>
    </row>
    <row r="8" spans="2:16">
      <c r="B8" t="s">
        <v>45</v>
      </c>
      <c r="D8" s="13">
        <f>COUNTIF('نتائج القسم'!I8:I57,"&gt;=10.00")-COUNTIF('نتائج القسم'!I8:I57,"&gt;11.99")</f>
        <v>9</v>
      </c>
      <c r="H8" t="s">
        <v>45</v>
      </c>
      <c r="J8" s="13">
        <f>COUNTIF('نتائج القسم'!U8:U57,"&gt;=10.00")-COUNTIF('نتائج القسم'!U8:U57,"&gt;11.99")</f>
        <v>9</v>
      </c>
      <c r="N8" t="s">
        <v>45</v>
      </c>
      <c r="P8" s="13">
        <f>COUNTIF('نتائج القسم'!AG8:AG57,"&gt;=10.00")-COUNTIF('نتائج القسم'!AG8:AG57,"&gt;11.99")</f>
        <v>9</v>
      </c>
    </row>
    <row r="9" spans="2:16">
      <c r="D9" s="13"/>
      <c r="J9" s="13"/>
      <c r="P9" s="13"/>
    </row>
    <row r="10" spans="2:16">
      <c r="B10" t="s">
        <v>46</v>
      </c>
      <c r="D10" s="13">
        <f>COUNTIF('نتائج القسم'!I8:I57,"&gt;=12.00")-COUNTIF('نتائج القسم'!I8:I57,"&gt;13.99")</f>
        <v>8</v>
      </c>
      <c r="H10" t="s">
        <v>46</v>
      </c>
      <c r="J10" s="13">
        <f>COUNTIF('نتائج القسم'!U8:U57,"&gt;=12.00")-COUNTIF('نتائج القسم'!U8:U57,"&gt;13.99")</f>
        <v>8</v>
      </c>
      <c r="N10" t="s">
        <v>46</v>
      </c>
      <c r="P10" s="13">
        <f>COUNTIF('نتائج القسم'!AG8:AG57,"&gt;=12.00")-COUNTIF('نتائج القسم'!AG8:AG57,"&gt;13.99")</f>
        <v>8</v>
      </c>
    </row>
    <row r="11" spans="2:16">
      <c r="D11" s="13"/>
      <c r="J11" s="13"/>
      <c r="P11" s="13"/>
    </row>
    <row r="12" spans="2:16">
      <c r="B12" t="s">
        <v>47</v>
      </c>
      <c r="D12" s="13">
        <f>COUNTIF('نتائج القسم'!I8:I57,"&gt;=14.00")-COUNTIF('نتائج القسم'!I8:I57,"&gt;15.99")</f>
        <v>9</v>
      </c>
      <c r="H12" t="s">
        <v>47</v>
      </c>
      <c r="J12" s="13">
        <f>COUNTIF('نتائج القسم'!U8:U57,"&gt;=14.00")-COUNTIF('نتائج القسم'!U8:U57,"&gt;15.99")</f>
        <v>9</v>
      </c>
      <c r="N12" t="s">
        <v>47</v>
      </c>
      <c r="P12" s="13">
        <f>COUNTIF('نتائج القسم'!AG8:AG57,"&gt;=14.00")-COUNTIF('نتائج القسم'!AG8:AG57,"&gt;15.99")</f>
        <v>9</v>
      </c>
    </row>
    <row r="13" spans="2:16">
      <c r="D13" s="13"/>
      <c r="J13" s="13"/>
      <c r="P13" s="13"/>
    </row>
    <row r="14" spans="2:16">
      <c r="B14" t="s">
        <v>48</v>
      </c>
      <c r="D14" s="13">
        <f>COUNTIF('نتائج القسم'!I8:I57,"&gt;=16.00")-COUNTIF('نتائج القسم'!I8:I57,"&gt;17.99")</f>
        <v>1</v>
      </c>
      <c r="H14" t="s">
        <v>48</v>
      </c>
      <c r="J14" s="13">
        <f>COUNTIF('نتائج القسم'!U8:U57,"&gt;=16.00")-COUNTIF('نتائج القسم'!U8:U57,"&gt;17.99")</f>
        <v>1</v>
      </c>
      <c r="N14" t="s">
        <v>48</v>
      </c>
      <c r="P14" s="13">
        <f>COUNTIF('نتائج القسم'!AG8:AG57,"&gt;=16.00")-COUNTIF('نتائج القسم'!AG8:AG57,"&gt;17.99")</f>
        <v>1</v>
      </c>
    </row>
    <row r="15" spans="2:16">
      <c r="D15" s="13"/>
      <c r="J15" s="13"/>
      <c r="P15" s="13"/>
    </row>
    <row r="16" spans="2:16">
      <c r="B16" t="s">
        <v>49</v>
      </c>
      <c r="D16" s="13">
        <f>COUNTIF('نتائج القسم'!I8:I57,"&gt;=18.00")</f>
        <v>1</v>
      </c>
      <c r="H16" t="s">
        <v>49</v>
      </c>
      <c r="J16" s="13">
        <f>COUNTIF('نتائج القسم'!U8:U57,"&gt;=18.00")</f>
        <v>1</v>
      </c>
      <c r="N16" t="s">
        <v>49</v>
      </c>
      <c r="P16" s="13">
        <f>COUNTIF('نتائج القسم'!AG8:AG57,"&gt;=18.00")</f>
        <v>1</v>
      </c>
    </row>
    <row r="17" spans="2:18">
      <c r="P17" t="str">
        <f>IF(ISNUMBER(Y18),IF(Y18&gt;$N$3,IF(Y18&lt;$N$4,"إنــــــذار",IF(Y18&lt;$N$5,"تنــبيــــه",IF(Y18&lt;$N$6,"مـتـوســـــط",IF(Y18&lt;$N$7,"لـوحة شـرف",IF(Y18&lt;$N$8,"تـشـجيـــــع",IF(Y18&lt;$N$9,"تـهـنـئــــة","إمتــيــــاز")))))),"تـوبـيــخ")," ")</f>
        <v/>
      </c>
    </row>
    <row r="18" spans="2:18">
      <c r="B18" t="s">
        <v>50</v>
      </c>
      <c r="D18" s="12">
        <f>SUM(D2,D4,D6,D8,D10,D12,D14,D16)</f>
        <v>38</v>
      </c>
      <c r="H18" t="s">
        <v>50</v>
      </c>
      <c r="J18" s="12">
        <f>SUM(J2,J4,J6,J8,J10,J12,J14,J16)</f>
        <v>38</v>
      </c>
      <c r="N18" t="s">
        <v>50</v>
      </c>
      <c r="P18" s="12">
        <f>SUM(P2,P4,P6,P8,P10,P12,P14,P16)</f>
        <v>38</v>
      </c>
    </row>
    <row r="20" spans="2:18">
      <c r="P20" s="1"/>
      <c r="Q20" s="1"/>
      <c r="R20" s="1"/>
    </row>
    <row r="21" spans="2:18">
      <c r="D21" t="s">
        <v>42</v>
      </c>
      <c r="F21" s="39">
        <f>COUNTIF('نتائج القسم'!AJ8:AJ57,"&gt;=00.00")-COUNTIF('نتائج القسم'!AJ8:AJ57,"&gt;05.00")</f>
        <v>1</v>
      </c>
      <c r="J21" s="14"/>
      <c r="P21" s="1"/>
      <c r="Q21" s="1"/>
      <c r="R21" s="1"/>
    </row>
    <row r="22" spans="2:18">
      <c r="F22" s="26"/>
      <c r="J22" s="13"/>
      <c r="P22" s="1"/>
      <c r="Q22" s="1"/>
      <c r="R22" s="1"/>
    </row>
    <row r="23" spans="2:18">
      <c r="D23" t="s">
        <v>43</v>
      </c>
      <c r="F23" s="39">
        <f>COUNTIF('نتائج القسم'!AJ8:AJ57,"&gt;=05.01")-COUNTIF('نتائج القسم'!AJ8:AJ57,"&gt;08.00")</f>
        <v>8</v>
      </c>
      <c r="J23" s="14"/>
      <c r="P23" s="1"/>
      <c r="Q23" s="1"/>
      <c r="R23" s="1"/>
    </row>
    <row r="24" spans="2:18">
      <c r="F24" s="26"/>
      <c r="J24" s="13"/>
      <c r="P24" s="1"/>
      <c r="Q24" s="1"/>
      <c r="R24" s="1"/>
    </row>
    <row r="25" spans="2:18">
      <c r="D25" t="s">
        <v>44</v>
      </c>
      <c r="F25" s="39">
        <f>COUNTIF('نتائج القسم'!AJ8:AJ57,"&gt;=08.01")-COUNTIF('نتائج القسم'!AJ8:AJ57,"&gt;09.99")</f>
        <v>1</v>
      </c>
      <c r="J25" s="14"/>
    </row>
    <row r="26" spans="2:18">
      <c r="F26" s="26"/>
      <c r="J26" s="13"/>
    </row>
    <row r="27" spans="2:18">
      <c r="D27" t="s">
        <v>45</v>
      </c>
      <c r="F27" s="39">
        <f>COUNTIF('نتائج القسم'!AJ8:AJ57,"&gt;=10.00")-COUNTIF('نتائج القسم'!AJ8:AJ57,"&gt;11.99")</f>
        <v>9</v>
      </c>
      <c r="J27" s="14"/>
    </row>
    <row r="28" spans="2:18">
      <c r="F28" s="26"/>
      <c r="J28" s="13"/>
    </row>
    <row r="29" spans="2:18">
      <c r="D29" t="s">
        <v>46</v>
      </c>
      <c r="F29" s="39">
        <f>COUNTIF('نتائج القسم'!AJ8:AJ57,"&gt;=12.00")-COUNTIF('نتائج القسم'!AJ8:AJ57,"&gt;13.99")</f>
        <v>8</v>
      </c>
      <c r="J29" s="14"/>
    </row>
    <row r="30" spans="2:18">
      <c r="F30" s="26"/>
      <c r="J30" s="13"/>
    </row>
    <row r="31" spans="2:18">
      <c r="D31" t="s">
        <v>47</v>
      </c>
      <c r="F31" s="39">
        <f>COUNTIF('نتائج القسم'!AJ8:AJ57,"&gt;=14.00")-COUNTIF('نتائج القسم'!AJ8:AJ57,"&gt;15.99")</f>
        <v>9</v>
      </c>
      <c r="J31" s="14"/>
    </row>
    <row r="32" spans="2:18">
      <c r="F32" s="26"/>
      <c r="J32" s="13"/>
    </row>
    <row r="33" spans="2:10">
      <c r="D33" t="s">
        <v>48</v>
      </c>
      <c r="F33" s="39">
        <f>COUNTIF('نتائج القسم'!AJ8:AJ57,"&gt;=16.00")-COUNTIF('نتائج القسم'!AJ8:AJ57,"&gt;17.99")</f>
        <v>1</v>
      </c>
      <c r="J33" s="14"/>
    </row>
    <row r="34" spans="2:10">
      <c r="F34" s="26"/>
      <c r="J34" s="13"/>
    </row>
    <row r="35" spans="2:10">
      <c r="D35" t="s">
        <v>49</v>
      </c>
      <c r="F35" s="26">
        <f>COUNTIF('نتائج القسم'!AJ8:AJ57,"&gt;=18.00")</f>
        <v>1</v>
      </c>
      <c r="J35" s="13"/>
    </row>
    <row r="37" spans="2:10">
      <c r="B37" t="s">
        <v>50</v>
      </c>
      <c r="D37" s="12">
        <f>SUM(F21,F23,F25,F27,F29,F31,F33,F35)</f>
        <v>38</v>
      </c>
      <c r="F37" s="24"/>
      <c r="J37" s="12"/>
    </row>
    <row r="40" spans="2:10">
      <c r="J40" s="13"/>
    </row>
    <row r="42" spans="2:10">
      <c r="J42" s="12"/>
    </row>
    <row r="43" spans="2:10">
      <c r="E43" t="str">
        <f t="shared" ref="E43:E53" si="0">IF(ISNUMBER(D43),IF(D43&gt;$N$3,IF(D43&lt;$N$4,"إنــــــذار",IF(D43&lt;$N$5,"تنــبيـــــه",IF(D43&lt;$N$6,"مـتـوســـــط",IF(D43&lt;$N$7,"لـوحـة شـرف",IF(D43&lt;$N$8,"تـشـجيـــــع",IF(D43&lt;$N$9,"تـهـنـئــــة","إمتــيــــاز")))))),"تـوبـيــخ")," ")</f>
        <v/>
      </c>
    </row>
    <row r="44" spans="2:10">
      <c r="E44" t="str">
        <f t="shared" si="0"/>
        <v/>
      </c>
    </row>
    <row r="45" spans="2:10">
      <c r="E45" t="str">
        <f t="shared" si="0"/>
        <v/>
      </c>
    </row>
    <row r="46" spans="2:10">
      <c r="E46" t="str">
        <f t="shared" si="0"/>
        <v/>
      </c>
    </row>
    <row r="47" spans="2:10">
      <c r="E47" t="str">
        <f t="shared" si="0"/>
        <v/>
      </c>
    </row>
    <row r="48" spans="2:10">
      <c r="E48" t="str">
        <f t="shared" si="0"/>
        <v/>
      </c>
    </row>
    <row r="49" spans="5:11">
      <c r="E49" t="str">
        <f t="shared" si="0"/>
        <v/>
      </c>
    </row>
    <row r="50" spans="5:11">
      <c r="E50" t="str">
        <f t="shared" si="0"/>
        <v/>
      </c>
    </row>
    <row r="51" spans="5:11">
      <c r="E51" t="str">
        <f t="shared" si="0"/>
        <v/>
      </c>
    </row>
    <row r="52" spans="5:11">
      <c r="E52" t="str">
        <f t="shared" si="0"/>
        <v/>
      </c>
    </row>
    <row r="53" spans="5:11">
      <c r="E53" t="str">
        <f t="shared" si="0"/>
        <v/>
      </c>
    </row>
    <row r="55" spans="5:11">
      <c r="I55" t="str">
        <f t="shared" ref="I55:I60" si="1">IF(ISNUMBER(H55),IF(H55&gt;$N$3,IF(H55&lt;$N$4,"إنــــــذار",IF(H55&lt;$N$5,"تنــبيــــه",IF(H55&lt;$N$6,"مـتـوســـــط",IF(H55&lt;$N$7,"لـوحة شـرف",IF(H55&lt;$N$8,"تـشـجيـــــع",IF(H55&lt;$N$9,"تـهـنـئــــة","إمتــيــــاز")))))),"تـوبـيــخ")," ")</f>
        <v/>
      </c>
      <c r="J55" t="str">
        <f t="shared" ref="J55:J60" si="2">IF(ISNUMBER(F55),AVERAGE(D55,F55,H55)," ")</f>
        <v/>
      </c>
      <c r="K55" t="str">
        <f t="shared" ref="K55:K60" si="3">IF(ISNUMBER(H55),IF(J55&gt;9.99,"ينتقل","يعيد"),"")</f>
        <v/>
      </c>
    </row>
    <row r="56" spans="5:11">
      <c r="I56" t="str">
        <f t="shared" si="1"/>
        <v/>
      </c>
      <c r="J56" t="str">
        <f t="shared" si="2"/>
        <v/>
      </c>
      <c r="K56" t="str">
        <f t="shared" si="3"/>
        <v/>
      </c>
    </row>
    <row r="57" spans="5:11">
      <c r="I57" t="str">
        <f t="shared" si="1"/>
        <v/>
      </c>
      <c r="J57" t="str">
        <f t="shared" si="2"/>
        <v/>
      </c>
      <c r="K57" t="str">
        <f t="shared" si="3"/>
        <v/>
      </c>
    </row>
    <row r="58" spans="5:11">
      <c r="I58" t="str">
        <f t="shared" si="1"/>
        <v/>
      </c>
      <c r="J58" t="str">
        <f t="shared" si="2"/>
        <v/>
      </c>
      <c r="K58" t="str">
        <f t="shared" si="3"/>
        <v/>
      </c>
    </row>
    <row r="59" spans="5:11">
      <c r="I59" t="str">
        <f t="shared" si="1"/>
        <v/>
      </c>
      <c r="J59" t="str">
        <f t="shared" si="2"/>
        <v/>
      </c>
      <c r="K59" t="str">
        <f t="shared" si="3"/>
        <v/>
      </c>
    </row>
    <row r="60" spans="5:11">
      <c r="I60" t="str">
        <f t="shared" si="1"/>
        <v/>
      </c>
      <c r="J60" t="str">
        <f t="shared" si="2"/>
        <v/>
      </c>
      <c r="K60" t="str">
        <f t="shared" si="3"/>
        <v/>
      </c>
    </row>
  </sheetData>
  <sheetProtection algorithmName="SHA-512" hashValue="y3o3PnhvY6NNGCFGxGrLiL15KKLVEEr5SVaNWx0yKSPH1e3NMhd/xnPhXb9F3RFG6hPqMDPjOzNMDE/a2Mplew==" saltValue="rTCA/qevzmPKs7MB0exIvw==" spinCount="100000" sheet="1" objects="1" scenarios="1"/>
  <pageMargins left="0.78749999999999998" right="0.78749999999999998" top="0.98402800000000001" bottom="0.98402800000000001" header="0.49236099999999999" footer="0.49236099999999999"/>
  <pageSetup paperSize="9" fitToWidth="0"/>
  <drawing r:id="rId1"/>
  <extLst>
    <ext uri="smNativeData">
      <pm:sheetPrefs xmlns:pm="smNativeData" day="146281930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N14"/>
  <sheetViews>
    <sheetView rightToLeft="1" workbookViewId="0">
      <selection activeCell="H12" sqref="H12:K12"/>
    </sheetView>
  </sheetViews>
  <sheetFormatPr baseColWidth="10" defaultColWidth="10.7109375" defaultRowHeight="15"/>
  <sheetData>
    <row r="4" spans="5:14" ht="18.75">
      <c r="G4" s="121"/>
      <c r="H4" s="121"/>
      <c r="I4" s="121"/>
      <c r="J4" s="121"/>
      <c r="K4" s="121"/>
    </row>
    <row r="5" spans="5:14" ht="18.75">
      <c r="F5" s="1"/>
      <c r="H5" s="122" t="s">
        <v>57</v>
      </c>
      <c r="I5" s="121"/>
      <c r="J5" s="121"/>
      <c r="K5" s="1"/>
    </row>
    <row r="6" spans="5:14">
      <c r="F6" s="1"/>
      <c r="G6" s="1"/>
      <c r="H6" s="1"/>
      <c r="I6" s="85"/>
      <c r="K6" s="1"/>
    </row>
    <row r="8" spans="5:14" ht="18.75">
      <c r="F8" s="34"/>
    </row>
    <row r="9" spans="5:14" ht="16.5" customHeight="1">
      <c r="E9" s="4"/>
      <c r="F9" s="4"/>
      <c r="G9" s="4"/>
      <c r="H9" s="4"/>
      <c r="I9" s="4"/>
      <c r="J9" s="4"/>
      <c r="K9" s="4"/>
      <c r="L9" s="4"/>
      <c r="M9" s="4"/>
      <c r="N9" s="4"/>
    </row>
    <row r="10" spans="5:14" ht="29.25" customHeight="1">
      <c r="E10" s="4"/>
      <c r="F10" s="4"/>
      <c r="G10" s="123" t="s">
        <v>51</v>
      </c>
      <c r="H10" s="123"/>
      <c r="I10" s="123"/>
      <c r="J10" s="123"/>
      <c r="K10" s="123"/>
      <c r="L10" s="123"/>
      <c r="M10" s="4"/>
      <c r="N10" s="4"/>
    </row>
    <row r="11" spans="5:14" ht="20.25" customHeight="1">
      <c r="E11" s="4"/>
      <c r="F11" s="1"/>
      <c r="G11" s="4"/>
      <c r="H11" s="124" t="s">
        <v>58</v>
      </c>
      <c r="I11" s="124"/>
      <c r="J11" s="124"/>
      <c r="K11" s="124"/>
      <c r="L11" s="4"/>
      <c r="M11" s="4"/>
      <c r="N11" s="4"/>
    </row>
    <row r="12" spans="5:14">
      <c r="E12" s="4"/>
      <c r="F12" s="1"/>
      <c r="G12" s="1"/>
      <c r="H12" s="125" t="s">
        <v>52</v>
      </c>
      <c r="I12" s="125"/>
      <c r="J12" s="125"/>
      <c r="K12" s="125"/>
      <c r="L12" s="4"/>
      <c r="M12" s="4"/>
      <c r="N12" s="4"/>
    </row>
    <row r="13" spans="5:14"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5:14" ht="18.75">
      <c r="E14" s="4"/>
      <c r="F14" s="34" t="s">
        <v>53</v>
      </c>
      <c r="G14" s="4"/>
      <c r="H14" s="4"/>
      <c r="I14" s="4"/>
      <c r="J14" s="4"/>
      <c r="K14" s="4"/>
      <c r="L14" s="4"/>
      <c r="M14" s="4"/>
      <c r="N14" s="4"/>
    </row>
  </sheetData>
  <sheetProtection algorithmName="SHA-512" hashValue="RFmMFW3wLAKsFef99l70IBUWThyRb5RkvI/R7QKFpw9xemuf4RzxlgUvmYfEdhCZDGSGDxafY+mnxYdaAR0Jwg==" saltValue="xYhfL6S6VGfQDgkExJSmJQ==" spinCount="100000" sheet="1" objects="1" scenarios="1" autoFilter="0"/>
  <mergeCells count="5">
    <mergeCell ref="H12:K12"/>
    <mergeCell ref="G4:K4"/>
    <mergeCell ref="H5:J5"/>
    <mergeCell ref="G10:L10"/>
    <mergeCell ref="H11:K11"/>
  </mergeCells>
  <hyperlinks>
    <hyperlink ref="H12" r:id="rId1"/>
  </hyperlinks>
  <pageMargins left="0.7" right="0.7" top="0.75" bottom="0.75" header="0.3" footer="0.3"/>
  <pageSetup paperSize="9" fitToWidth="0" orientation="portrait" r:id="rId2"/>
  <extLst>
    <ext uri="smNativeData">
      <pm:sheetPrefs xmlns:pm="smNativeData" day="146281930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xl/_rels/comments2.xml.rels><?xml version="1.0" encoding="UTF-8" standalone="yes"?>
<Relationships xmlns="http://schemas.openxmlformats.org/package/2006/relationships"><Relationship Target="commentsmeta1" Type="http://customschemas.google.com/relationships/workbookmetadata" Id="rId1"></Relationship></Relationships>
</file>

<file path=xl/worksheets/xl/_rels/comments3.xml.rels><?xml version="1.0" encoding="UTF-8" standalone="yes"?>
<Relationships xmlns="http://schemas.openxmlformats.org/package/2006/relationships"><Relationship Target="commentsmeta2" Type="http://customschemas.google.com/relationships/workbookmetadata" Id="rId1"></Relationship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نتائج القسم</vt:lpstr>
      <vt:lpstr>نتائج فردية</vt:lpstr>
      <vt:lpstr>اعداد</vt:lpstr>
      <vt:lpstr>'نتائج القسم'!Zone_d_impression</vt:lpstr>
      <vt:lpstr>'نتائج فردية'!Zone_d_impression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Med</dc:creator>
  <cp:keywords/>
  <dc:description/>
  <cp:lastModifiedBy>Mohamed</cp:lastModifiedBy>
  <cp:revision>0</cp:revision>
  <cp:lastPrinted>2013-12-17T17:11:57Z</cp:lastPrinted>
  <dcterms:created xsi:type="dcterms:W3CDTF">2011-12-12T20:16:36Z</dcterms:created>
  <dcterms:modified xsi:type="dcterms:W3CDTF">2016-06-16T18:06:20Z</dcterms:modified>
</cp:coreProperties>
</file>