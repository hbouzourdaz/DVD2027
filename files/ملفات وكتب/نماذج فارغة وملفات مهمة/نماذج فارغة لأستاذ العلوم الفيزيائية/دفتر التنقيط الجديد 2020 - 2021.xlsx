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75" windowWidth="20055" windowHeight="7935" tabRatio="108"/>
  </bookViews>
  <sheets>
    <sheet name="زوالي سيف الدين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" i="1"/>
  <c r="Q7"/>
  <c r="R7"/>
  <c r="N8"/>
  <c r="Q8"/>
  <c r="R8"/>
  <c r="N9"/>
  <c r="Q9"/>
  <c r="R9"/>
  <c r="N10"/>
  <c r="Q10"/>
  <c r="R10"/>
  <c r="N11"/>
  <c r="Q11"/>
  <c r="R11"/>
  <c r="N12"/>
  <c r="Q12" s="1"/>
  <c r="N13"/>
  <c r="Q13"/>
  <c r="R13"/>
  <c r="N14"/>
  <c r="Q14"/>
  <c r="R14"/>
  <c r="N15"/>
  <c r="Q15"/>
  <c r="R15"/>
  <c r="N16"/>
  <c r="Q16"/>
  <c r="R16"/>
  <c r="N17"/>
  <c r="Q17"/>
  <c r="R17"/>
  <c r="N18"/>
  <c r="Q18"/>
  <c r="R18"/>
  <c r="N19"/>
  <c r="Q19"/>
  <c r="R19"/>
  <c r="N20"/>
  <c r="Q20"/>
  <c r="R20"/>
  <c r="N21"/>
  <c r="Q21"/>
  <c r="R21"/>
  <c r="N22"/>
  <c r="Q22"/>
  <c r="R22"/>
  <c r="N23"/>
  <c r="Q23"/>
  <c r="R23"/>
  <c r="N24"/>
  <c r="Q24"/>
  <c r="R24"/>
  <c r="N25"/>
  <c r="Q25"/>
  <c r="R25"/>
  <c r="N26"/>
  <c r="Q26"/>
  <c r="R26"/>
  <c r="N27"/>
  <c r="Q27"/>
  <c r="R27"/>
  <c r="N28"/>
  <c r="Q28"/>
  <c r="R28"/>
  <c r="N29"/>
  <c r="Q29"/>
  <c r="R29"/>
  <c r="N30"/>
  <c r="Q30"/>
  <c r="R30"/>
  <c r="N31"/>
  <c r="Q31"/>
  <c r="R31"/>
  <c r="N32"/>
  <c r="Q32"/>
  <c r="R32"/>
  <c r="N33"/>
  <c r="Q33"/>
  <c r="R33"/>
  <c r="N34"/>
  <c r="Q34"/>
  <c r="R34"/>
  <c r="N35"/>
  <c r="Q35"/>
  <c r="R35"/>
  <c r="N36"/>
  <c r="Q36"/>
  <c r="R36"/>
  <c r="N37"/>
  <c r="Q37"/>
  <c r="R37"/>
  <c r="N38"/>
  <c r="Q38"/>
  <c r="R38"/>
  <c r="N39"/>
  <c r="Q39"/>
  <c r="R39"/>
  <c r="N40"/>
  <c r="Q40"/>
  <c r="R40"/>
  <c r="N41"/>
  <c r="Q41"/>
  <c r="R41"/>
  <c r="N42"/>
  <c r="Q42"/>
  <c r="R42"/>
  <c r="N43"/>
  <c r="Q43"/>
  <c r="R43"/>
  <c r="N44"/>
  <c r="Q44"/>
  <c r="R44"/>
  <c r="N45"/>
  <c r="Q45"/>
  <c r="R45"/>
  <c r="N46"/>
  <c r="Q46"/>
  <c r="R46"/>
  <c r="P49"/>
  <c r="J49"/>
  <c r="H49"/>
  <c r="R12" l="1"/>
  <c r="F56" s="1"/>
  <c r="N49"/>
  <c r="L49"/>
  <c r="C49"/>
  <c r="D49"/>
  <c r="F49"/>
  <c r="F57"/>
  <c r="F58"/>
  <c r="F52" l="1"/>
  <c r="F54"/>
  <c r="F53"/>
  <c r="F55"/>
</calcChain>
</file>

<file path=xl/sharedStrings.xml><?xml version="1.0" encoding="utf-8"?>
<sst xmlns="http://schemas.openxmlformats.org/spreadsheetml/2006/main" count="47" uniqueCount="45">
  <si>
    <t>التقديرات</t>
  </si>
  <si>
    <t>أدنى معدل</t>
  </si>
  <si>
    <t>أكبر معدل</t>
  </si>
  <si>
    <t>المعدل العام</t>
  </si>
  <si>
    <t>المشتركون</t>
  </si>
  <si>
    <t>الناجحون</t>
  </si>
  <si>
    <t>الراسبون</t>
  </si>
  <si>
    <t>الغائبون</t>
  </si>
  <si>
    <t>عددها</t>
  </si>
  <si>
    <t>ممتاز</t>
  </si>
  <si>
    <t>جيد</t>
  </si>
  <si>
    <t>حسن</t>
  </si>
  <si>
    <t xml:space="preserve">ضعيف </t>
  </si>
  <si>
    <t>جيد جدا</t>
  </si>
  <si>
    <t>مقبول</t>
  </si>
  <si>
    <t xml:space="preserve">رقم </t>
  </si>
  <si>
    <t>المعدل الفصلي للمـادة</t>
  </si>
  <si>
    <t>الاختبـار</t>
  </si>
  <si>
    <t xml:space="preserve">الفرض </t>
  </si>
  <si>
    <t>المجمــــــــــــــــوع/20</t>
  </si>
  <si>
    <t>المبادرة والمساهمة 1ن</t>
  </si>
  <si>
    <t>العمل ضمن فريق 2ن</t>
  </si>
  <si>
    <t>أعمال إضافية 3ن</t>
  </si>
  <si>
    <t>الكتابة(السبورةوالكراس)2ن</t>
  </si>
  <si>
    <t>الفعالية (مناقشة تحليل..)3ن</t>
  </si>
  <si>
    <t>المشاركة 2ن</t>
  </si>
  <si>
    <t>تنظيم الكراس 1ن</t>
  </si>
  <si>
    <t>إحضار الأدوات 2ن</t>
  </si>
  <si>
    <t>الغيابات والتأخيرات 2ن</t>
  </si>
  <si>
    <t>السلوك 2ن</t>
  </si>
  <si>
    <t xml:space="preserve">المردود في أنشطة </t>
  </si>
  <si>
    <t>التعلم خارج القسم</t>
  </si>
  <si>
    <t>الانضباط و المواظبة</t>
  </si>
  <si>
    <t>التعلم داخل القسم</t>
  </si>
  <si>
    <t>المراقبة المستمرة</t>
  </si>
  <si>
    <t>مــتــوســـــــطة</t>
  </si>
  <si>
    <t>الأستاذ (ة)</t>
  </si>
  <si>
    <t>تحليل النتائج</t>
  </si>
  <si>
    <t xml:space="preserve"> المئوية</t>
  </si>
  <si>
    <t>النسبة</t>
  </si>
  <si>
    <t xml:space="preserve">ضعيف جدا </t>
  </si>
  <si>
    <t>بوحناش بوبكر</t>
  </si>
  <si>
    <t>هاني لعلى -عين الكبيرة-</t>
  </si>
  <si>
    <t>اللقب و الاسم</t>
  </si>
  <si>
    <t>القـــســم: 3م1 ف1</t>
  </si>
</sst>
</file>

<file path=xl/styles.xml><?xml version="1.0" encoding="utf-8"?>
<styleSheet xmlns="http://schemas.openxmlformats.org/spreadsheetml/2006/main">
  <fonts count="24">
    <font>
      <sz val="11"/>
      <color theme="1"/>
      <name val="Calibri"/>
      <family val="2"/>
      <scheme val="minor"/>
    </font>
    <font>
      <sz val="11"/>
      <color indexed="8"/>
      <name val="Calibri"/>
    </font>
    <font>
      <b/>
      <sz val="18"/>
      <color indexed="8"/>
      <name val="Times New Roman"/>
      <family val="1"/>
    </font>
    <font>
      <sz val="11"/>
      <color indexed="8"/>
      <name val="Calibri"/>
      <family val="2"/>
    </font>
    <font>
      <b/>
      <sz val="18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16"/>
      <color indexed="8"/>
      <name val="DejaVu Serif"/>
    </font>
    <font>
      <b/>
      <sz val="18"/>
      <color indexed="8"/>
      <name val="DejaVu Serif"/>
    </font>
    <font>
      <b/>
      <sz val="14"/>
      <color indexed="8"/>
      <name val="Times New Roman"/>
      <family val="1"/>
    </font>
    <font>
      <b/>
      <sz val="14"/>
      <color theme="1"/>
      <name val="Times New Roman"/>
      <family val="1"/>
    </font>
    <font>
      <b/>
      <sz val="12"/>
      <color indexed="8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i/>
      <sz val="18"/>
      <color indexed="8"/>
      <name val="Times New Roman"/>
      <family val="1"/>
    </font>
    <font>
      <b/>
      <sz val="20"/>
      <color indexed="8"/>
      <name val="Microsoft Uighur"/>
    </font>
    <font>
      <b/>
      <i/>
      <sz val="12"/>
      <color theme="1"/>
      <name val="Times New Roman"/>
      <family val="1"/>
    </font>
    <font>
      <b/>
      <sz val="12"/>
      <color indexed="8"/>
      <name val="DejaVu Serif"/>
    </font>
    <font>
      <b/>
      <i/>
      <sz val="12"/>
      <color indexed="8"/>
      <name val="Times New Roman"/>
      <family val="1"/>
    </font>
    <font>
      <b/>
      <i/>
      <sz val="16"/>
      <color rgb="FFFF0000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indexed="8"/>
      <name val="Arabic Typesetting"/>
      <family val="4"/>
    </font>
    <font>
      <b/>
      <sz val="18"/>
      <color indexed="8"/>
      <name val="Aldhabi"/>
    </font>
  </fonts>
  <fills count="3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8"/>
      </patternFill>
    </fill>
    <fill>
      <patternFill patternType="solid">
        <fgColor theme="0" tint="-0.34998626667073579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rgb="FF66FF3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8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 tint="0.249977111117893"/>
        <bgColor indexed="8"/>
      </patternFill>
    </fill>
    <fill>
      <patternFill patternType="solid">
        <fgColor theme="7" tint="0.59999389629810485"/>
        <bgColor indexed="8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8">
    <xf numFmtId="0" fontId="0" fillId="0" borderId="0"/>
    <xf numFmtId="0" fontId="1" fillId="0" borderId="0" applyFill="0" applyProtection="0"/>
    <xf numFmtId="0" fontId="3" fillId="0" borderId="0" applyFill="0" applyProtection="0"/>
    <xf numFmtId="0" fontId="3" fillId="0" borderId="0" applyFill="0" applyProtection="0"/>
    <xf numFmtId="0" fontId="1" fillId="0" borderId="0" applyFill="0" applyProtection="0"/>
    <xf numFmtId="0" fontId="3" fillId="0" borderId="0" applyFill="0" applyProtection="0"/>
    <xf numFmtId="0" fontId="3" fillId="0" borderId="0" applyFill="0" applyProtection="0"/>
    <xf numFmtId="0" fontId="3" fillId="0" borderId="0" applyFill="0" applyProtection="0"/>
  </cellStyleXfs>
  <cellXfs count="160">
    <xf numFmtId="0" fontId="0" fillId="0" borderId="0" xfId="0"/>
    <xf numFmtId="0" fontId="0" fillId="0" borderId="1" xfId="0" applyBorder="1"/>
    <xf numFmtId="0" fontId="2" fillId="29" borderId="1" xfId="1" applyFont="1" applyFill="1" applyBorder="1" applyAlignment="1" applyProtection="1">
      <alignment horizontal="center" vertical="center"/>
    </xf>
    <xf numFmtId="0" fontId="2" fillId="4" borderId="1" xfId="1" applyFont="1" applyFill="1" applyBorder="1" applyAlignment="1" applyProtection="1">
      <alignment horizontal="center" vertical="center"/>
    </xf>
    <xf numFmtId="0" fontId="6" fillId="4" borderId="1" xfId="0" applyFont="1" applyFill="1" applyBorder="1" applyAlignment="1" applyProtection="1">
      <alignment horizontal="center" vertical="center"/>
    </xf>
    <xf numFmtId="0" fontId="12" fillId="17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2" fillId="25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0" fillId="30" borderId="1" xfId="1" applyFont="1" applyFill="1" applyBorder="1" applyAlignment="1" applyProtection="1">
      <alignment horizontal="center" vertical="center"/>
    </xf>
    <xf numFmtId="0" fontId="17" fillId="22" borderId="1" xfId="0" applyFont="1" applyFill="1" applyBorder="1" applyAlignment="1" applyProtection="1">
      <alignment horizontal="center" vertical="center"/>
      <protection locked="0"/>
    </xf>
    <xf numFmtId="0" fontId="10" fillId="22" borderId="1" xfId="1" applyFont="1" applyFill="1" applyBorder="1" applyAlignment="1" applyProtection="1">
      <alignment horizontal="center" vertical="center"/>
      <protection locked="0"/>
    </xf>
    <xf numFmtId="0" fontId="16" fillId="20" borderId="1" xfId="0" applyFont="1" applyFill="1" applyBorder="1" applyAlignment="1">
      <alignment horizontal="center" vertical="center"/>
    </xf>
    <xf numFmtId="0" fontId="18" fillId="20" borderId="1" xfId="1" applyFont="1" applyFill="1" applyBorder="1" applyAlignment="1" applyProtection="1">
      <alignment horizontal="center" vertical="center"/>
      <protection locked="0"/>
    </xf>
    <xf numFmtId="0" fontId="17" fillId="30" borderId="1" xfId="0" applyFont="1" applyFill="1" applyBorder="1" applyAlignment="1" applyProtection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0" xfId="0" applyBorder="1"/>
    <xf numFmtId="0" fontId="0" fillId="0" borderId="10" xfId="0" applyBorder="1"/>
    <xf numFmtId="0" fontId="0" fillId="0" borderId="3" xfId="0" applyBorder="1"/>
    <xf numFmtId="0" fontId="9" fillId="19" borderId="1" xfId="0" applyFont="1" applyFill="1" applyBorder="1" applyAlignment="1">
      <alignment horizontal="center" vertical="center" textRotation="90"/>
    </xf>
    <xf numFmtId="0" fontId="9" fillId="19" borderId="7" xfId="0" applyFont="1" applyFill="1" applyBorder="1" applyAlignment="1">
      <alignment horizontal="center" vertical="center" textRotation="90"/>
    </xf>
    <xf numFmtId="0" fontId="9" fillId="19" borderId="8" xfId="0" applyFont="1" applyFill="1" applyBorder="1" applyAlignment="1">
      <alignment horizontal="center" vertical="center" textRotation="90"/>
    </xf>
    <xf numFmtId="0" fontId="8" fillId="16" borderId="1" xfId="1" applyFont="1" applyFill="1" applyBorder="1" applyAlignment="1" applyProtection="1">
      <alignment horizontal="center" vertical="center"/>
      <protection locked="0"/>
    </xf>
    <xf numFmtId="0" fontId="16" fillId="16" borderId="1" xfId="0" applyFont="1" applyFill="1" applyBorder="1" applyAlignment="1">
      <alignment horizontal="center" vertical="center"/>
    </xf>
    <xf numFmtId="0" fontId="20" fillId="15" borderId="7" xfId="0" applyNumberFormat="1" applyFont="1" applyFill="1" applyBorder="1" applyAlignment="1">
      <alignment horizontal="center" vertical="center"/>
    </xf>
    <xf numFmtId="0" fontId="20" fillId="15" borderId="9" xfId="0" applyNumberFormat="1" applyFont="1" applyFill="1" applyBorder="1" applyAlignment="1">
      <alignment horizontal="center" vertical="center"/>
    </xf>
    <xf numFmtId="0" fontId="20" fillId="15" borderId="8" xfId="0" applyNumberFormat="1" applyFont="1" applyFill="1" applyBorder="1" applyAlignment="1">
      <alignment horizontal="center" vertical="center"/>
    </xf>
    <xf numFmtId="0" fontId="4" fillId="14" borderId="7" xfId="0" applyFont="1" applyFill="1" applyBorder="1" applyAlignment="1">
      <alignment horizontal="center" vertical="center"/>
    </xf>
    <xf numFmtId="0" fontId="4" fillId="14" borderId="9" xfId="0" applyFont="1" applyFill="1" applyBorder="1" applyAlignment="1">
      <alignment horizontal="center" vertical="center"/>
    </xf>
    <xf numFmtId="0" fontId="4" fillId="14" borderId="8" xfId="0" applyFont="1" applyFill="1" applyBorder="1" applyAlignment="1">
      <alignment horizontal="center" vertical="center"/>
    </xf>
    <xf numFmtId="0" fontId="4" fillId="16" borderId="7" xfId="0" applyFont="1" applyFill="1" applyBorder="1" applyAlignment="1">
      <alignment horizontal="center" vertical="center"/>
    </xf>
    <xf numFmtId="0" fontId="4" fillId="16" borderId="9" xfId="0" applyFont="1" applyFill="1" applyBorder="1" applyAlignment="1">
      <alignment horizontal="center" vertical="center"/>
    </xf>
    <xf numFmtId="0" fontId="4" fillId="16" borderId="8" xfId="0" applyFont="1" applyFill="1" applyBorder="1" applyAlignment="1">
      <alignment horizontal="center" vertical="center"/>
    </xf>
    <xf numFmtId="0" fontId="4" fillId="11" borderId="7" xfId="0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center" vertical="center"/>
    </xf>
    <xf numFmtId="0" fontId="4" fillId="11" borderId="8" xfId="0" applyFont="1" applyFill="1" applyBorder="1" applyAlignment="1">
      <alignment horizontal="center" vertical="center"/>
    </xf>
    <xf numFmtId="0" fontId="7" fillId="5" borderId="7" xfId="0" applyFont="1" applyFill="1" applyBorder="1" applyAlignment="1" applyProtection="1">
      <alignment horizontal="center" vertical="center"/>
    </xf>
    <xf numFmtId="0" fontId="7" fillId="5" borderId="8" xfId="0" applyFont="1" applyFill="1" applyBorder="1" applyAlignment="1" applyProtection="1">
      <alignment horizontal="center" vertical="center"/>
    </xf>
    <xf numFmtId="0" fontId="19" fillId="2" borderId="14" xfId="0" applyFont="1" applyFill="1" applyBorder="1" applyAlignment="1">
      <alignment horizontal="center" vertical="center"/>
    </xf>
    <xf numFmtId="0" fontId="19" fillId="2" borderId="11" xfId="0" applyFont="1" applyFill="1" applyBorder="1" applyAlignment="1">
      <alignment horizontal="center" vertical="center"/>
    </xf>
    <xf numFmtId="0" fontId="19" fillId="2" borderId="15" xfId="0" applyFont="1" applyFill="1" applyBorder="1" applyAlignment="1">
      <alignment horizontal="center" vertical="center"/>
    </xf>
    <xf numFmtId="0" fontId="19" fillId="2" borderId="13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2" fontId="13" fillId="8" borderId="15" xfId="0" applyNumberFormat="1" applyFont="1" applyFill="1" applyBorder="1" applyAlignment="1">
      <alignment horizontal="center" vertical="center"/>
    </xf>
    <xf numFmtId="2" fontId="13" fillId="8" borderId="13" xfId="0" applyNumberFormat="1" applyFont="1" applyFill="1" applyBorder="1" applyAlignment="1">
      <alignment horizontal="center" vertical="center"/>
    </xf>
    <xf numFmtId="0" fontId="9" fillId="19" borderId="14" xfId="0" applyFont="1" applyFill="1" applyBorder="1" applyAlignment="1">
      <alignment horizontal="center" vertical="center" textRotation="90"/>
    </xf>
    <xf numFmtId="0" fontId="9" fillId="19" borderId="11" xfId="0" applyFont="1" applyFill="1" applyBorder="1" applyAlignment="1">
      <alignment horizontal="center" vertical="center" textRotation="90"/>
    </xf>
    <xf numFmtId="0" fontId="13" fillId="6" borderId="15" xfId="0" applyFont="1" applyFill="1" applyBorder="1" applyAlignment="1">
      <alignment horizontal="center" vertical="center"/>
    </xf>
    <xf numFmtId="0" fontId="13" fillId="6" borderId="13" xfId="0" applyFont="1" applyFill="1" applyBorder="1" applyAlignment="1">
      <alignment horizontal="center" vertical="center"/>
    </xf>
    <xf numFmtId="0" fontId="9" fillId="14" borderId="7" xfId="0" applyFont="1" applyFill="1" applyBorder="1" applyAlignment="1">
      <alignment horizontal="center" vertical="center"/>
    </xf>
    <xf numFmtId="0" fontId="9" fillId="14" borderId="9" xfId="0" applyFont="1" applyFill="1" applyBorder="1" applyAlignment="1">
      <alignment horizontal="center" vertical="center"/>
    </xf>
    <xf numFmtId="0" fontId="9" fillId="14" borderId="8" xfId="0" applyFont="1" applyFill="1" applyBorder="1" applyAlignment="1">
      <alignment horizontal="center" vertical="center"/>
    </xf>
    <xf numFmtId="0" fontId="8" fillId="16" borderId="7" xfId="3" applyFont="1" applyFill="1" applyBorder="1" applyAlignment="1" applyProtection="1">
      <alignment horizontal="center"/>
      <protection locked="0"/>
    </xf>
    <xf numFmtId="0" fontId="8" fillId="16" borderId="9" xfId="3" applyFont="1" applyFill="1" applyBorder="1" applyAlignment="1" applyProtection="1">
      <alignment horizontal="center"/>
      <protection locked="0"/>
    </xf>
    <xf numFmtId="0" fontId="8" fillId="16" borderId="8" xfId="3" applyFont="1" applyFill="1" applyBorder="1" applyAlignment="1" applyProtection="1">
      <alignment horizontal="center"/>
      <protection locked="0"/>
    </xf>
    <xf numFmtId="0" fontId="9" fillId="11" borderId="7" xfId="0" applyFont="1" applyFill="1" applyBorder="1" applyAlignment="1">
      <alignment horizontal="center" vertical="center"/>
    </xf>
    <xf numFmtId="0" fontId="9" fillId="11" borderId="9" xfId="0" applyFont="1" applyFill="1" applyBorder="1" applyAlignment="1">
      <alignment horizontal="center" vertical="center"/>
    </xf>
    <xf numFmtId="0" fontId="9" fillId="11" borderId="8" xfId="0" applyFont="1" applyFill="1" applyBorder="1" applyAlignment="1">
      <alignment horizontal="center" vertical="center"/>
    </xf>
    <xf numFmtId="0" fontId="9" fillId="13" borderId="7" xfId="0" applyFont="1" applyFill="1" applyBorder="1" applyAlignment="1">
      <alignment horizontal="center" vertical="center"/>
    </xf>
    <xf numFmtId="0" fontId="9" fillId="13" borderId="9" xfId="0" applyFont="1" applyFill="1" applyBorder="1" applyAlignment="1">
      <alignment horizontal="center" vertical="center"/>
    </xf>
    <xf numFmtId="0" fontId="9" fillId="13" borderId="8" xfId="0" applyFont="1" applyFill="1" applyBorder="1" applyAlignment="1">
      <alignment horizontal="center" vertical="center"/>
    </xf>
    <xf numFmtId="0" fontId="8" fillId="28" borderId="7" xfId="3" applyFont="1" applyFill="1" applyBorder="1" applyAlignment="1" applyProtection="1">
      <alignment horizontal="center"/>
      <protection locked="0"/>
    </xf>
    <xf numFmtId="0" fontId="8" fillId="28" borderId="9" xfId="3" applyFont="1" applyFill="1" applyBorder="1" applyAlignment="1" applyProtection="1">
      <alignment horizontal="center"/>
      <protection locked="0"/>
    </xf>
    <xf numFmtId="0" fontId="8" fillId="28" borderId="8" xfId="3" applyFont="1" applyFill="1" applyBorder="1" applyAlignment="1" applyProtection="1">
      <alignment horizontal="center"/>
      <protection locked="0"/>
    </xf>
    <xf numFmtId="0" fontId="9" fillId="26" borderId="7" xfId="0" applyFont="1" applyFill="1" applyBorder="1" applyAlignment="1">
      <alignment horizontal="center" vertical="center"/>
    </xf>
    <xf numFmtId="0" fontId="9" fillId="26" borderId="9" xfId="0" applyFont="1" applyFill="1" applyBorder="1" applyAlignment="1">
      <alignment horizontal="center" vertical="center"/>
    </xf>
    <xf numFmtId="0" fontId="9" fillId="26" borderId="8" xfId="0" applyFont="1" applyFill="1" applyBorder="1" applyAlignment="1">
      <alignment horizontal="center" vertical="center"/>
    </xf>
    <xf numFmtId="0" fontId="8" fillId="27" borderId="7" xfId="3" applyFont="1" applyFill="1" applyBorder="1" applyAlignment="1" applyProtection="1">
      <alignment horizontal="center"/>
      <protection locked="0"/>
    </xf>
    <xf numFmtId="0" fontId="8" fillId="27" borderId="9" xfId="3" applyFont="1" applyFill="1" applyBorder="1" applyAlignment="1" applyProtection="1">
      <alignment horizontal="center"/>
      <protection locked="0"/>
    </xf>
    <xf numFmtId="0" fontId="8" fillId="27" borderId="8" xfId="3" applyFont="1" applyFill="1" applyBorder="1" applyAlignment="1" applyProtection="1">
      <alignment horizontal="center"/>
      <protection locked="0"/>
    </xf>
    <xf numFmtId="0" fontId="4" fillId="13" borderId="7" xfId="0" applyFont="1" applyFill="1" applyBorder="1" applyAlignment="1">
      <alignment horizontal="center" vertical="center"/>
    </xf>
    <xf numFmtId="0" fontId="4" fillId="13" borderId="9" xfId="0" applyFont="1" applyFill="1" applyBorder="1" applyAlignment="1">
      <alignment horizontal="center" vertical="center"/>
    </xf>
    <xf numFmtId="0" fontId="4" fillId="13" borderId="8" xfId="0" applyFont="1" applyFill="1" applyBorder="1" applyAlignment="1">
      <alignment horizontal="center" vertical="center"/>
    </xf>
    <xf numFmtId="0" fontId="4" fillId="28" borderId="7" xfId="0" applyFont="1" applyFill="1" applyBorder="1" applyAlignment="1">
      <alignment horizontal="center" vertical="center"/>
    </xf>
    <xf numFmtId="0" fontId="4" fillId="28" borderId="9" xfId="0" applyFont="1" applyFill="1" applyBorder="1" applyAlignment="1">
      <alignment horizontal="center" vertical="center"/>
    </xf>
    <xf numFmtId="0" fontId="4" fillId="28" borderId="8" xfId="0" applyFont="1" applyFill="1" applyBorder="1" applyAlignment="1">
      <alignment horizontal="center" vertical="center"/>
    </xf>
    <xf numFmtId="0" fontId="4" fillId="26" borderId="7" xfId="0" applyFont="1" applyFill="1" applyBorder="1" applyAlignment="1">
      <alignment horizontal="center" vertical="center"/>
    </xf>
    <xf numFmtId="0" fontId="4" fillId="26" borderId="9" xfId="0" applyFont="1" applyFill="1" applyBorder="1" applyAlignment="1">
      <alignment horizontal="center" vertical="center"/>
    </xf>
    <xf numFmtId="0" fontId="4" fillId="26" borderId="8" xfId="0" applyFont="1" applyFill="1" applyBorder="1" applyAlignment="1">
      <alignment horizontal="center" vertical="center"/>
    </xf>
    <xf numFmtId="0" fontId="4" fillId="27" borderId="7" xfId="0" applyFont="1" applyFill="1" applyBorder="1" applyAlignment="1">
      <alignment horizontal="center" vertical="center"/>
    </xf>
    <xf numFmtId="0" fontId="4" fillId="27" borderId="9" xfId="0" applyFont="1" applyFill="1" applyBorder="1" applyAlignment="1">
      <alignment horizontal="center" vertical="center"/>
    </xf>
    <xf numFmtId="0" fontId="4" fillId="27" borderId="8" xfId="0" applyFont="1" applyFill="1" applyBorder="1" applyAlignment="1">
      <alignment horizontal="center" vertical="center"/>
    </xf>
    <xf numFmtId="0" fontId="13" fillId="6" borderId="7" xfId="0" applyFont="1" applyFill="1" applyBorder="1" applyAlignment="1">
      <alignment horizontal="center" vertical="center"/>
    </xf>
    <xf numFmtId="0" fontId="13" fillId="6" borderId="8" xfId="0" applyFont="1" applyFill="1" applyBorder="1" applyAlignment="1">
      <alignment horizontal="center" vertical="center"/>
    </xf>
    <xf numFmtId="0" fontId="9" fillId="19" borderId="7" xfId="0" applyFont="1" applyFill="1" applyBorder="1" applyAlignment="1">
      <alignment horizontal="center" vertical="center" textRotation="90"/>
    </xf>
    <xf numFmtId="0" fontId="9" fillId="19" borderId="8" xfId="0" applyFont="1" applyFill="1" applyBorder="1" applyAlignment="1">
      <alignment horizontal="center" vertical="center" textRotation="90"/>
    </xf>
    <xf numFmtId="0" fontId="13" fillId="8" borderId="7" xfId="0" applyFont="1" applyFill="1" applyBorder="1" applyAlignment="1">
      <alignment horizontal="center" vertical="center"/>
    </xf>
    <xf numFmtId="0" fontId="13" fillId="8" borderId="8" xfId="0" applyFont="1" applyFill="1" applyBorder="1" applyAlignment="1">
      <alignment horizontal="center" vertical="center"/>
    </xf>
    <xf numFmtId="2" fontId="13" fillId="10" borderId="15" xfId="0" applyNumberFormat="1" applyFont="1" applyFill="1" applyBorder="1" applyAlignment="1">
      <alignment horizontal="center" vertical="center"/>
    </xf>
    <xf numFmtId="2" fontId="13" fillId="10" borderId="13" xfId="0" applyNumberFormat="1" applyFont="1" applyFill="1" applyBorder="1" applyAlignment="1">
      <alignment horizontal="center" vertical="center"/>
    </xf>
    <xf numFmtId="0" fontId="5" fillId="11" borderId="4" xfId="0" applyFont="1" applyFill="1" applyBorder="1" applyAlignment="1">
      <alignment horizontal="center" vertical="center" textRotation="90"/>
    </xf>
    <xf numFmtId="0" fontId="5" fillId="11" borderId="5" xfId="0" applyFont="1" applyFill="1" applyBorder="1" applyAlignment="1">
      <alignment horizontal="center" vertical="center" textRotation="90"/>
    </xf>
    <xf numFmtId="0" fontId="5" fillId="11" borderId="6" xfId="0" applyFont="1" applyFill="1" applyBorder="1" applyAlignment="1">
      <alignment horizontal="center" vertical="center" textRotation="90"/>
    </xf>
    <xf numFmtId="0" fontId="13" fillId="12" borderId="7" xfId="0" applyFont="1" applyFill="1" applyBorder="1" applyAlignment="1">
      <alignment horizontal="center" vertical="center"/>
    </xf>
    <xf numFmtId="0" fontId="13" fillId="12" borderId="8" xfId="0" applyFont="1" applyFill="1" applyBorder="1" applyAlignment="1">
      <alignment horizontal="center" vertical="center"/>
    </xf>
    <xf numFmtId="0" fontId="13" fillId="7" borderId="7" xfId="0" applyFont="1" applyFill="1" applyBorder="1" applyAlignment="1">
      <alignment horizontal="center" vertical="center"/>
    </xf>
    <xf numFmtId="0" fontId="13" fillId="7" borderId="8" xfId="0" applyFont="1" applyFill="1" applyBorder="1" applyAlignment="1">
      <alignment horizontal="center" vertical="center"/>
    </xf>
    <xf numFmtId="0" fontId="9" fillId="20" borderId="4" xfId="0" applyFont="1" applyFill="1" applyBorder="1" applyAlignment="1">
      <alignment horizontal="center" vertical="center" textRotation="90"/>
    </xf>
    <xf numFmtId="0" fontId="9" fillId="20" borderId="5" xfId="0" applyFont="1" applyFill="1" applyBorder="1" applyAlignment="1">
      <alignment horizontal="center" vertical="center" textRotation="90"/>
    </xf>
    <xf numFmtId="0" fontId="9" fillId="20" borderId="6" xfId="0" applyFont="1" applyFill="1" applyBorder="1" applyAlignment="1">
      <alignment horizontal="center" vertical="center" textRotation="90"/>
    </xf>
    <xf numFmtId="0" fontId="8" fillId="24" borderId="4" xfId="1" applyFont="1" applyFill="1" applyBorder="1" applyAlignment="1" applyProtection="1">
      <alignment horizontal="center" vertical="center" textRotation="90"/>
    </xf>
    <xf numFmtId="0" fontId="8" fillId="24" borderId="5" xfId="1" applyFont="1" applyFill="1" applyBorder="1" applyAlignment="1" applyProtection="1">
      <alignment horizontal="center" vertical="center" textRotation="90"/>
    </xf>
    <xf numFmtId="0" fontId="8" fillId="24" borderId="6" xfId="1" applyFont="1" applyFill="1" applyBorder="1" applyAlignment="1" applyProtection="1">
      <alignment horizontal="center" vertical="center" textRotation="90"/>
    </xf>
    <xf numFmtId="0" fontId="9" fillId="21" borderId="15" xfId="0" applyFont="1" applyFill="1" applyBorder="1" applyAlignment="1">
      <alignment horizontal="center" vertical="center"/>
    </xf>
    <xf numFmtId="0" fontId="9" fillId="21" borderId="12" xfId="0" applyFont="1" applyFill="1" applyBorder="1" applyAlignment="1">
      <alignment horizontal="center" vertical="center"/>
    </xf>
    <xf numFmtId="0" fontId="9" fillId="21" borderId="13" xfId="0" applyFont="1" applyFill="1" applyBorder="1" applyAlignment="1">
      <alignment horizontal="center" vertical="center"/>
    </xf>
    <xf numFmtId="0" fontId="9" fillId="9" borderId="4" xfId="0" applyFont="1" applyFill="1" applyBorder="1" applyAlignment="1">
      <alignment horizontal="center" vertical="center" textRotation="90"/>
    </xf>
    <xf numFmtId="0" fontId="9" fillId="9" borderId="5" xfId="0" applyFont="1" applyFill="1" applyBorder="1" applyAlignment="1">
      <alignment horizontal="center" vertical="center" textRotation="90"/>
    </xf>
    <xf numFmtId="0" fontId="9" fillId="9" borderId="6" xfId="0" applyFont="1" applyFill="1" applyBorder="1" applyAlignment="1">
      <alignment horizontal="center" vertical="center" textRotation="90"/>
    </xf>
    <xf numFmtId="0" fontId="9" fillId="17" borderId="4" xfId="0" applyFont="1" applyFill="1" applyBorder="1" applyAlignment="1">
      <alignment horizontal="center" vertical="center" textRotation="90"/>
    </xf>
    <xf numFmtId="0" fontId="9" fillId="17" borderId="5" xfId="0" applyFont="1" applyFill="1" applyBorder="1" applyAlignment="1">
      <alignment horizontal="center" vertical="center" textRotation="90"/>
    </xf>
    <xf numFmtId="0" fontId="9" fillId="17" borderId="6" xfId="0" applyFont="1" applyFill="1" applyBorder="1" applyAlignment="1">
      <alignment horizontal="center" vertical="center" textRotation="90"/>
    </xf>
    <xf numFmtId="0" fontId="7" fillId="5" borderId="1" xfId="0" applyFont="1" applyFill="1" applyBorder="1" applyAlignment="1" applyProtection="1">
      <alignment horizontal="center" vertical="center"/>
    </xf>
    <xf numFmtId="0" fontId="9" fillId="11" borderId="4" xfId="0" applyFont="1" applyFill="1" applyBorder="1" applyAlignment="1">
      <alignment horizontal="center" vertical="center" textRotation="90"/>
    </xf>
    <xf numFmtId="0" fontId="9" fillId="11" borderId="5" xfId="0" applyFont="1" applyFill="1" applyBorder="1" applyAlignment="1">
      <alignment horizontal="center" vertical="center" textRotation="90"/>
    </xf>
    <xf numFmtId="0" fontId="9" fillId="11" borderId="6" xfId="0" applyFont="1" applyFill="1" applyBorder="1" applyAlignment="1">
      <alignment horizontal="center" vertical="center" textRotation="90"/>
    </xf>
    <xf numFmtId="0" fontId="14" fillId="18" borderId="14" xfId="1" applyFont="1" applyFill="1" applyBorder="1" applyAlignment="1" applyProtection="1">
      <alignment horizontal="center" vertical="center"/>
    </xf>
    <xf numFmtId="0" fontId="0" fillId="18" borderId="10" xfId="0" applyFill="1" applyBorder="1"/>
    <xf numFmtId="0" fontId="0" fillId="18" borderId="11" xfId="0" applyFill="1" applyBorder="1"/>
    <xf numFmtId="0" fontId="22" fillId="18" borderId="2" xfId="1" applyFont="1" applyFill="1" applyBorder="1" applyAlignment="1" applyProtection="1">
      <alignment horizontal="center" vertical="center"/>
    </xf>
    <xf numFmtId="0" fontId="0" fillId="18" borderId="0" xfId="0" applyFill="1"/>
    <xf numFmtId="0" fontId="0" fillId="18" borderId="3" xfId="0" applyFill="1" applyBorder="1"/>
    <xf numFmtId="0" fontId="2" fillId="18" borderId="2" xfId="1" applyFont="1" applyFill="1" applyBorder="1" applyAlignment="1" applyProtection="1">
      <alignment horizontal="center" vertical="center"/>
    </xf>
    <xf numFmtId="0" fontId="2" fillId="18" borderId="0" xfId="1" applyFont="1" applyFill="1" applyBorder="1" applyAlignment="1" applyProtection="1">
      <alignment horizontal="center" vertical="center"/>
    </xf>
    <xf numFmtId="0" fontId="2" fillId="18" borderId="3" xfId="1" applyFont="1" applyFill="1" applyBorder="1" applyAlignment="1" applyProtection="1">
      <alignment horizontal="center" vertical="center"/>
    </xf>
    <xf numFmtId="0" fontId="15" fillId="18" borderId="15" xfId="1" applyFont="1" applyFill="1" applyBorder="1" applyAlignment="1" applyProtection="1">
      <alignment horizontal="center" vertical="center"/>
    </xf>
    <xf numFmtId="0" fontId="15" fillId="18" borderId="12" xfId="1" applyFont="1" applyFill="1" applyBorder="1" applyAlignment="1" applyProtection="1">
      <alignment horizontal="center" vertical="center"/>
    </xf>
    <xf numFmtId="0" fontId="15" fillId="18" borderId="13" xfId="1" applyFont="1" applyFill="1" applyBorder="1" applyAlignment="1" applyProtection="1">
      <alignment horizontal="center" vertical="center"/>
    </xf>
    <xf numFmtId="0" fontId="23" fillId="3" borderId="7" xfId="1" applyFont="1" applyFill="1" applyBorder="1" applyAlignment="1" applyProtection="1">
      <alignment horizontal="center" vertical="center"/>
    </xf>
    <xf numFmtId="0" fontId="2" fillId="3" borderId="8" xfId="1" applyFont="1" applyFill="1" applyBorder="1" applyAlignment="1" applyProtection="1">
      <alignment horizontal="center" vertical="center"/>
    </xf>
    <xf numFmtId="0" fontId="8" fillId="6" borderId="7" xfId="1" applyFont="1" applyFill="1" applyBorder="1" applyAlignment="1" applyProtection="1">
      <alignment horizontal="center" vertical="center"/>
    </xf>
    <xf numFmtId="0" fontId="8" fillId="6" borderId="9" xfId="1" applyFont="1" applyFill="1" applyBorder="1" applyAlignment="1" applyProtection="1">
      <alignment horizontal="center" vertical="center"/>
    </xf>
    <xf numFmtId="0" fontId="8" fillId="6" borderId="8" xfId="1" applyFont="1" applyFill="1" applyBorder="1" applyAlignment="1" applyProtection="1">
      <alignment horizontal="center" vertical="center"/>
    </xf>
    <xf numFmtId="0" fontId="8" fillId="23" borderId="7" xfId="1" applyFont="1" applyFill="1" applyBorder="1" applyAlignment="1" applyProtection="1">
      <alignment horizontal="center" vertical="center"/>
    </xf>
    <xf numFmtId="0" fontId="0" fillId="23" borderId="9" xfId="0" applyFill="1" applyBorder="1"/>
    <xf numFmtId="0" fontId="0" fillId="23" borderId="8" xfId="0" applyFill="1" applyBorder="1"/>
    <xf numFmtId="0" fontId="8" fillId="22" borderId="4" xfId="1" applyFont="1" applyFill="1" applyBorder="1" applyAlignment="1" applyProtection="1">
      <alignment horizontal="center" vertical="center" textRotation="90"/>
    </xf>
    <xf numFmtId="0" fontId="8" fillId="22" borderId="5" xfId="1" applyFont="1" applyFill="1" applyBorder="1" applyAlignment="1" applyProtection="1">
      <alignment horizontal="center" vertical="center" textRotation="90"/>
    </xf>
    <xf numFmtId="0" fontId="8" fillId="22" borderId="6" xfId="1" applyFont="1" applyFill="1" applyBorder="1" applyAlignment="1" applyProtection="1">
      <alignment horizontal="center" vertical="center" textRotation="90"/>
    </xf>
    <xf numFmtId="0" fontId="8" fillId="30" borderId="4" xfId="1" applyFont="1" applyFill="1" applyBorder="1" applyAlignment="1" applyProtection="1">
      <alignment horizontal="center" vertical="center" textRotation="90"/>
    </xf>
    <xf numFmtId="0" fontId="8" fillId="30" borderId="5" xfId="1" applyFont="1" applyFill="1" applyBorder="1" applyAlignment="1" applyProtection="1">
      <alignment horizontal="center" vertical="center" textRotation="90"/>
    </xf>
    <xf numFmtId="0" fontId="8" fillId="30" borderId="6" xfId="1" applyFont="1" applyFill="1" applyBorder="1" applyAlignment="1" applyProtection="1">
      <alignment horizontal="center" vertical="center" textRotation="90"/>
    </xf>
    <xf numFmtId="0" fontId="8" fillId="21" borderId="14" xfId="1" applyFont="1" applyFill="1" applyBorder="1" applyAlignment="1" applyProtection="1">
      <alignment horizontal="center" vertical="center"/>
    </xf>
    <xf numFmtId="0" fontId="0" fillId="21" borderId="10" xfId="0" applyFill="1" applyBorder="1"/>
    <xf numFmtId="0" fontId="0" fillId="21" borderId="11" xfId="0" applyFill="1" applyBorder="1"/>
    <xf numFmtId="0" fontId="9" fillId="6" borderId="4" xfId="0" applyFont="1" applyFill="1" applyBorder="1" applyAlignment="1">
      <alignment horizontal="center" vertical="center" textRotation="90"/>
    </xf>
    <xf numFmtId="0" fontId="9" fillId="6" borderId="5" xfId="0" applyFont="1" applyFill="1" applyBorder="1" applyAlignment="1">
      <alignment horizontal="center" vertical="center" textRotation="90"/>
    </xf>
    <xf numFmtId="0" fontId="9" fillId="6" borderId="6" xfId="0" applyFont="1" applyFill="1" applyBorder="1" applyAlignment="1">
      <alignment horizontal="center" vertical="center" textRotation="90"/>
    </xf>
    <xf numFmtId="0" fontId="9" fillId="15" borderId="14" xfId="0" applyFont="1" applyFill="1" applyBorder="1" applyAlignment="1">
      <alignment horizontal="center" vertical="center"/>
    </xf>
    <xf numFmtId="0" fontId="9" fillId="15" borderId="10" xfId="0" applyFont="1" applyFill="1" applyBorder="1" applyAlignment="1">
      <alignment horizontal="center" vertical="center"/>
    </xf>
    <xf numFmtId="0" fontId="9" fillId="15" borderId="11" xfId="0" applyFont="1" applyFill="1" applyBorder="1" applyAlignment="1">
      <alignment horizontal="center" vertical="center"/>
    </xf>
    <xf numFmtId="0" fontId="9" fillId="15" borderId="15" xfId="0" applyFont="1" applyFill="1" applyBorder="1" applyAlignment="1">
      <alignment horizontal="center" vertical="center"/>
    </xf>
    <xf numFmtId="0" fontId="9" fillId="15" borderId="12" xfId="0" applyFont="1" applyFill="1" applyBorder="1" applyAlignment="1">
      <alignment horizontal="center" vertical="center"/>
    </xf>
    <xf numFmtId="0" fontId="9" fillId="15" borderId="13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0" xfId="0" applyBorder="1" applyAlignment="1">
      <alignment horizontal="center" vertical="center" textRotation="90"/>
    </xf>
    <xf numFmtId="0" fontId="2" fillId="18" borderId="1" xfId="1" applyFont="1" applyFill="1" applyBorder="1" applyAlignment="1" applyProtection="1">
      <alignment horizontal="center"/>
    </xf>
  </cellXfs>
  <cellStyles count="8">
    <cellStyle name="Normal" xfId="0" builtinId="0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7"/>
  </cellStyles>
  <dxfs count="0"/>
  <tableStyles count="0" defaultTableStyle="TableStyleMedium9" defaultPivotStyle="PivotStyleLight16"/>
  <colors>
    <mruColors>
      <color rgb="FF99FF33"/>
      <color rgb="FF00CC00"/>
      <color rgb="FF66FF33"/>
      <color rgb="FF99FF66"/>
      <color rgb="FFFFFF97"/>
      <color rgb="FFDAED27"/>
      <color rgb="FFFFFFB7"/>
      <color rgb="FFF73F3F"/>
      <color rgb="FFFFFF00"/>
      <color rgb="FFFA7A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62"/>
  <sheetViews>
    <sheetView rightToLeft="1" tabSelected="1" workbookViewId="0">
      <selection activeCell="A5" sqref="A5:C5"/>
    </sheetView>
  </sheetViews>
  <sheetFormatPr baseColWidth="10" defaultColWidth="10.7109375" defaultRowHeight="15"/>
  <cols>
    <col min="1" max="1" width="5.7109375" customWidth="1"/>
    <col min="2" max="3" width="10.7109375" customWidth="1"/>
    <col min="4" max="16" width="5.7109375" customWidth="1"/>
    <col min="17" max="17" width="6.7109375" customWidth="1"/>
  </cols>
  <sheetData>
    <row r="1" spans="1:18" ht="27.95" customHeight="1">
      <c r="A1" s="118" t="s">
        <v>35</v>
      </c>
      <c r="B1" s="119"/>
      <c r="C1" s="120"/>
      <c r="D1" s="132" t="s">
        <v>34</v>
      </c>
      <c r="E1" s="133"/>
      <c r="F1" s="133"/>
      <c r="G1" s="133"/>
      <c r="H1" s="133"/>
      <c r="I1" s="133"/>
      <c r="J1" s="133"/>
      <c r="K1" s="133"/>
      <c r="L1" s="133"/>
      <c r="M1" s="133"/>
      <c r="N1" s="134"/>
      <c r="O1" s="108" t="s">
        <v>18</v>
      </c>
      <c r="P1" s="115" t="s">
        <v>17</v>
      </c>
      <c r="Q1" s="108" t="s">
        <v>16</v>
      </c>
      <c r="R1" s="92" t="s">
        <v>0</v>
      </c>
    </row>
    <row r="2" spans="1:18" ht="27.75" customHeight="1">
      <c r="A2" s="121" t="s">
        <v>42</v>
      </c>
      <c r="B2" s="122"/>
      <c r="C2" s="123"/>
      <c r="D2" s="135" t="s">
        <v>32</v>
      </c>
      <c r="E2" s="136"/>
      <c r="F2" s="136"/>
      <c r="G2" s="137"/>
      <c r="H2" s="144" t="s">
        <v>30</v>
      </c>
      <c r="I2" s="145"/>
      <c r="J2" s="146"/>
      <c r="K2" s="150" t="s">
        <v>30</v>
      </c>
      <c r="L2" s="151"/>
      <c r="M2" s="152"/>
      <c r="N2" s="147" t="s">
        <v>19</v>
      </c>
      <c r="O2" s="109"/>
      <c r="P2" s="116"/>
      <c r="Q2" s="109"/>
      <c r="R2" s="93"/>
    </row>
    <row r="3" spans="1:18" ht="35.1" customHeight="1">
      <c r="A3" s="159" t="s">
        <v>44</v>
      </c>
      <c r="B3" s="159"/>
      <c r="C3" s="159"/>
      <c r="D3" s="138" t="s">
        <v>29</v>
      </c>
      <c r="E3" s="141" t="s">
        <v>28</v>
      </c>
      <c r="F3" s="141" t="s">
        <v>27</v>
      </c>
      <c r="G3" s="141" t="s">
        <v>26</v>
      </c>
      <c r="H3" s="105" t="s">
        <v>33</v>
      </c>
      <c r="I3" s="106"/>
      <c r="J3" s="107"/>
      <c r="K3" s="153" t="s">
        <v>31</v>
      </c>
      <c r="L3" s="154"/>
      <c r="M3" s="155"/>
      <c r="N3" s="148"/>
      <c r="O3" s="109"/>
      <c r="P3" s="116"/>
      <c r="Q3" s="109"/>
      <c r="R3" s="93"/>
    </row>
    <row r="4" spans="1:18" ht="45" customHeight="1">
      <c r="A4" s="124" t="s">
        <v>36</v>
      </c>
      <c r="B4" s="125"/>
      <c r="C4" s="126"/>
      <c r="D4" s="139"/>
      <c r="E4" s="142"/>
      <c r="F4" s="142"/>
      <c r="G4" s="142"/>
      <c r="H4" s="102" t="s">
        <v>25</v>
      </c>
      <c r="I4" s="99" t="s">
        <v>24</v>
      </c>
      <c r="J4" s="99" t="s">
        <v>23</v>
      </c>
      <c r="K4" s="111" t="s">
        <v>22</v>
      </c>
      <c r="L4" s="111" t="s">
        <v>21</v>
      </c>
      <c r="M4" s="111" t="s">
        <v>20</v>
      </c>
      <c r="N4" s="148"/>
      <c r="O4" s="109"/>
      <c r="P4" s="116"/>
      <c r="Q4" s="109"/>
      <c r="R4" s="93"/>
    </row>
    <row r="5" spans="1:18" ht="45" customHeight="1">
      <c r="A5" s="127" t="s">
        <v>41</v>
      </c>
      <c r="B5" s="128"/>
      <c r="C5" s="129"/>
      <c r="D5" s="139"/>
      <c r="E5" s="142"/>
      <c r="F5" s="142"/>
      <c r="G5" s="142"/>
      <c r="H5" s="103"/>
      <c r="I5" s="100"/>
      <c r="J5" s="100"/>
      <c r="K5" s="112"/>
      <c r="L5" s="112"/>
      <c r="M5" s="112"/>
      <c r="N5" s="148"/>
      <c r="O5" s="109"/>
      <c r="P5" s="116"/>
      <c r="Q5" s="109"/>
      <c r="R5" s="93"/>
    </row>
    <row r="6" spans="1:18" ht="45" customHeight="1">
      <c r="A6" s="2" t="s">
        <v>15</v>
      </c>
      <c r="B6" s="130" t="s">
        <v>43</v>
      </c>
      <c r="C6" s="131"/>
      <c r="D6" s="140"/>
      <c r="E6" s="143"/>
      <c r="F6" s="143"/>
      <c r="G6" s="143"/>
      <c r="H6" s="104"/>
      <c r="I6" s="101"/>
      <c r="J6" s="101"/>
      <c r="K6" s="113"/>
      <c r="L6" s="113"/>
      <c r="M6" s="113"/>
      <c r="N6" s="149"/>
      <c r="O6" s="110"/>
      <c r="P6" s="117"/>
      <c r="Q6" s="110"/>
      <c r="R6" s="94"/>
    </row>
    <row r="7" spans="1:18" ht="24.95" customHeight="1">
      <c r="A7" s="3">
        <v>1</v>
      </c>
      <c r="B7" s="114"/>
      <c r="C7" s="114"/>
      <c r="D7" s="9">
        <v>2</v>
      </c>
      <c r="E7" s="10">
        <v>2</v>
      </c>
      <c r="F7" s="10">
        <v>2</v>
      </c>
      <c r="G7" s="11">
        <v>1</v>
      </c>
      <c r="H7" s="12">
        <v>2</v>
      </c>
      <c r="I7" s="12">
        <v>3</v>
      </c>
      <c r="J7" s="12">
        <v>2</v>
      </c>
      <c r="K7" s="5">
        <v>3</v>
      </c>
      <c r="L7" s="5">
        <v>2</v>
      </c>
      <c r="M7" s="5">
        <v>1</v>
      </c>
      <c r="N7" s="6">
        <f>SUM(D7:M7)</f>
        <v>20</v>
      </c>
      <c r="O7" s="7">
        <v>10</v>
      </c>
      <c r="P7" s="24">
        <v>12</v>
      </c>
      <c r="Q7" s="7">
        <f>(((N7+O7+(P7*3))/5))</f>
        <v>13.2</v>
      </c>
      <c r="R7" s="23" t="str">
        <f>IF((Q7)&gt;=17,"ممتاز",IF((Q7)&gt;=16,"جيد جدا",IF((Q7)&gt;=14,"جيد",IF((Q7)&gt;=12,"حسن",IF((Q7)&gt;=10,"مقبول",IF((Q7)&gt;=9,"ضعيف ",IF((Q7)&gt;=0,"ضعيف جدا ")))))))</f>
        <v>حسن</v>
      </c>
    </row>
    <row r="8" spans="1:18" ht="24.95" customHeight="1">
      <c r="A8" s="3">
        <v>2</v>
      </c>
      <c r="B8" s="114"/>
      <c r="C8" s="114"/>
      <c r="D8" s="9">
        <v>0</v>
      </c>
      <c r="E8" s="10">
        <v>0</v>
      </c>
      <c r="F8" s="10">
        <v>0</v>
      </c>
      <c r="G8" s="11">
        <v>0</v>
      </c>
      <c r="H8" s="13">
        <v>0</v>
      </c>
      <c r="I8" s="12">
        <v>0</v>
      </c>
      <c r="J8" s="12">
        <v>0</v>
      </c>
      <c r="K8" s="5">
        <v>0</v>
      </c>
      <c r="L8" s="5">
        <v>0</v>
      </c>
      <c r="M8" s="5">
        <v>0</v>
      </c>
      <c r="N8" s="6">
        <f t="shared" ref="N8:N46" si="0">SUM(D8:M8)</f>
        <v>0</v>
      </c>
      <c r="O8" s="7">
        <v>7</v>
      </c>
      <c r="P8" s="24">
        <v>8</v>
      </c>
      <c r="Q8" s="7">
        <f t="shared" ref="Q8:Q46" si="1">(((N8+O8+(P8*3))/5))</f>
        <v>6.2</v>
      </c>
      <c r="R8" s="23" t="str">
        <f t="shared" ref="R8:R46" si="2">IF((Q8)&gt;=17,"ممتاز",IF((Q8)&gt;=16,"جيد جدا",IF((Q8)&gt;=14,"جيد",IF((Q8)&gt;=12,"حسن",IF((Q8)&gt;=10,"مقبول",IF((Q8)&gt;=9,"ضعيف ",IF((Q8)&gt;=0,"ضعيف جدا ")))))))</f>
        <v xml:space="preserve">ضعيف جدا </v>
      </c>
    </row>
    <row r="9" spans="1:18" ht="24.95" customHeight="1">
      <c r="A9" s="3">
        <v>3</v>
      </c>
      <c r="B9" s="114"/>
      <c r="C9" s="114"/>
      <c r="D9" s="9">
        <v>1</v>
      </c>
      <c r="E9" s="10">
        <v>2</v>
      </c>
      <c r="F9" s="10">
        <v>1.5</v>
      </c>
      <c r="G9" s="11">
        <v>1</v>
      </c>
      <c r="H9" s="13">
        <v>1</v>
      </c>
      <c r="I9" s="12">
        <v>2</v>
      </c>
      <c r="J9" s="12">
        <v>1</v>
      </c>
      <c r="K9" s="5">
        <v>2</v>
      </c>
      <c r="L9" s="5">
        <v>1</v>
      </c>
      <c r="M9" s="5">
        <v>0</v>
      </c>
      <c r="N9" s="6">
        <f t="shared" si="0"/>
        <v>12.5</v>
      </c>
      <c r="O9" s="7">
        <v>12</v>
      </c>
      <c r="P9" s="24">
        <v>10</v>
      </c>
      <c r="Q9" s="7">
        <f t="shared" si="1"/>
        <v>10.9</v>
      </c>
      <c r="R9" s="23" t="str">
        <f t="shared" si="2"/>
        <v>مقبول</v>
      </c>
    </row>
    <row r="10" spans="1:18" ht="24.95" customHeight="1">
      <c r="A10" s="3">
        <v>4</v>
      </c>
      <c r="B10" s="114"/>
      <c r="C10" s="114"/>
      <c r="D10" s="9">
        <v>2</v>
      </c>
      <c r="E10" s="10">
        <v>2</v>
      </c>
      <c r="F10" s="10">
        <v>2</v>
      </c>
      <c r="G10" s="11">
        <v>1</v>
      </c>
      <c r="H10" s="13">
        <v>2</v>
      </c>
      <c r="I10" s="12">
        <v>3</v>
      </c>
      <c r="J10" s="12">
        <v>2</v>
      </c>
      <c r="K10" s="5">
        <v>3</v>
      </c>
      <c r="L10" s="5">
        <v>0</v>
      </c>
      <c r="M10" s="5">
        <v>0</v>
      </c>
      <c r="N10" s="6">
        <f t="shared" si="0"/>
        <v>17</v>
      </c>
      <c r="O10" s="7">
        <v>15</v>
      </c>
      <c r="P10" s="24">
        <v>16</v>
      </c>
      <c r="Q10" s="7">
        <f t="shared" si="1"/>
        <v>16</v>
      </c>
      <c r="R10" s="23" t="str">
        <f t="shared" si="2"/>
        <v>جيد جدا</v>
      </c>
    </row>
    <row r="11" spans="1:18" ht="24.95" customHeight="1">
      <c r="A11" s="3">
        <v>5</v>
      </c>
      <c r="B11" s="114"/>
      <c r="C11" s="114"/>
      <c r="D11" s="9">
        <v>0</v>
      </c>
      <c r="E11" s="10">
        <v>0</v>
      </c>
      <c r="F11" s="10">
        <v>0</v>
      </c>
      <c r="G11" s="11">
        <v>0</v>
      </c>
      <c r="H11" s="13">
        <v>0</v>
      </c>
      <c r="I11" s="12">
        <v>0</v>
      </c>
      <c r="J11" s="12">
        <v>0</v>
      </c>
      <c r="K11" s="5">
        <v>0</v>
      </c>
      <c r="L11" s="5">
        <v>0</v>
      </c>
      <c r="M11" s="5">
        <v>0</v>
      </c>
      <c r="N11" s="6">
        <f t="shared" si="0"/>
        <v>0</v>
      </c>
      <c r="O11" s="7">
        <v>0</v>
      </c>
      <c r="P11" s="24">
        <v>0</v>
      </c>
      <c r="Q11" s="7">
        <f t="shared" si="1"/>
        <v>0</v>
      </c>
      <c r="R11" s="23" t="str">
        <f t="shared" si="2"/>
        <v xml:space="preserve">ضعيف جدا </v>
      </c>
    </row>
    <row r="12" spans="1:18" ht="24.95" customHeight="1">
      <c r="A12" s="3">
        <v>6</v>
      </c>
      <c r="B12" s="114"/>
      <c r="C12" s="114"/>
      <c r="D12" s="9">
        <v>1</v>
      </c>
      <c r="E12" s="10">
        <v>2</v>
      </c>
      <c r="F12" s="10">
        <v>2</v>
      </c>
      <c r="G12" s="11">
        <v>1</v>
      </c>
      <c r="H12" s="13">
        <v>2</v>
      </c>
      <c r="I12" s="12">
        <v>1</v>
      </c>
      <c r="J12" s="12">
        <v>1</v>
      </c>
      <c r="K12" s="5">
        <v>0</v>
      </c>
      <c r="L12" s="5">
        <v>0</v>
      </c>
      <c r="M12" s="5">
        <v>2</v>
      </c>
      <c r="N12" s="6">
        <f t="shared" si="0"/>
        <v>12</v>
      </c>
      <c r="O12" s="7">
        <v>2</v>
      </c>
      <c r="P12" s="24">
        <v>20</v>
      </c>
      <c r="Q12" s="7">
        <f t="shared" si="1"/>
        <v>14.8</v>
      </c>
      <c r="R12" s="23" t="str">
        <f t="shared" si="2"/>
        <v>جيد</v>
      </c>
    </row>
    <row r="13" spans="1:18" ht="24.95" customHeight="1">
      <c r="A13" s="3">
        <v>7</v>
      </c>
      <c r="B13" s="114"/>
      <c r="C13" s="114"/>
      <c r="D13" s="9"/>
      <c r="E13" s="10"/>
      <c r="F13" s="10"/>
      <c r="G13" s="11"/>
      <c r="H13" s="13"/>
      <c r="I13" s="12"/>
      <c r="J13" s="12"/>
      <c r="K13" s="5"/>
      <c r="L13" s="5"/>
      <c r="M13" s="5"/>
      <c r="N13" s="6">
        <f t="shared" si="0"/>
        <v>0</v>
      </c>
      <c r="O13" s="7"/>
      <c r="P13" s="24"/>
      <c r="Q13" s="7">
        <f t="shared" si="1"/>
        <v>0</v>
      </c>
      <c r="R13" s="23" t="str">
        <f t="shared" si="2"/>
        <v xml:space="preserve">ضعيف جدا </v>
      </c>
    </row>
    <row r="14" spans="1:18" ht="24.95" customHeight="1">
      <c r="A14" s="3">
        <v>8</v>
      </c>
      <c r="B14" s="114"/>
      <c r="C14" s="114"/>
      <c r="D14" s="9"/>
      <c r="E14" s="10"/>
      <c r="F14" s="10"/>
      <c r="G14" s="11"/>
      <c r="H14" s="13"/>
      <c r="I14" s="12"/>
      <c r="J14" s="12"/>
      <c r="K14" s="5"/>
      <c r="L14" s="5"/>
      <c r="M14" s="5"/>
      <c r="N14" s="6">
        <f t="shared" si="0"/>
        <v>0</v>
      </c>
      <c r="O14" s="7"/>
      <c r="P14" s="24"/>
      <c r="Q14" s="7">
        <f t="shared" si="1"/>
        <v>0</v>
      </c>
      <c r="R14" s="23" t="str">
        <f t="shared" si="2"/>
        <v xml:space="preserve">ضعيف جدا </v>
      </c>
    </row>
    <row r="15" spans="1:18" ht="24.95" customHeight="1">
      <c r="A15" s="3">
        <v>9</v>
      </c>
      <c r="B15" s="114"/>
      <c r="C15" s="114"/>
      <c r="D15" s="9"/>
      <c r="E15" s="10"/>
      <c r="F15" s="10"/>
      <c r="G15" s="11"/>
      <c r="H15" s="13"/>
      <c r="I15" s="12"/>
      <c r="J15" s="12"/>
      <c r="K15" s="5"/>
      <c r="L15" s="5"/>
      <c r="M15" s="5"/>
      <c r="N15" s="6">
        <f t="shared" si="0"/>
        <v>0</v>
      </c>
      <c r="O15" s="7"/>
      <c r="P15" s="24"/>
      <c r="Q15" s="7">
        <f t="shared" si="1"/>
        <v>0</v>
      </c>
      <c r="R15" s="23" t="str">
        <f t="shared" si="2"/>
        <v xml:space="preserve">ضعيف جدا </v>
      </c>
    </row>
    <row r="16" spans="1:18" ht="24.95" customHeight="1">
      <c r="A16" s="3">
        <v>10</v>
      </c>
      <c r="B16" s="114"/>
      <c r="C16" s="114"/>
      <c r="D16" s="9"/>
      <c r="E16" s="10"/>
      <c r="F16" s="10"/>
      <c r="G16" s="11"/>
      <c r="H16" s="13"/>
      <c r="I16" s="12"/>
      <c r="J16" s="12"/>
      <c r="K16" s="5"/>
      <c r="L16" s="5"/>
      <c r="M16" s="5"/>
      <c r="N16" s="6">
        <f t="shared" si="0"/>
        <v>0</v>
      </c>
      <c r="O16" s="7"/>
      <c r="P16" s="24"/>
      <c r="Q16" s="7">
        <f t="shared" si="1"/>
        <v>0</v>
      </c>
      <c r="R16" s="23" t="str">
        <f t="shared" si="2"/>
        <v xml:space="preserve">ضعيف جدا </v>
      </c>
    </row>
    <row r="17" spans="1:18" ht="24.95" customHeight="1">
      <c r="A17" s="3">
        <v>11</v>
      </c>
      <c r="B17" s="114"/>
      <c r="C17" s="114"/>
      <c r="D17" s="9"/>
      <c r="E17" s="10"/>
      <c r="F17" s="10"/>
      <c r="G17" s="11"/>
      <c r="H17" s="13"/>
      <c r="I17" s="12"/>
      <c r="J17" s="12"/>
      <c r="K17" s="5"/>
      <c r="L17" s="5"/>
      <c r="M17" s="5"/>
      <c r="N17" s="6">
        <f t="shared" si="0"/>
        <v>0</v>
      </c>
      <c r="O17" s="7"/>
      <c r="P17" s="24"/>
      <c r="Q17" s="7">
        <f t="shared" si="1"/>
        <v>0</v>
      </c>
      <c r="R17" s="23" t="str">
        <f t="shared" si="2"/>
        <v xml:space="preserve">ضعيف جدا </v>
      </c>
    </row>
    <row r="18" spans="1:18" ht="24.95" customHeight="1">
      <c r="A18" s="3">
        <v>12</v>
      </c>
      <c r="B18" s="114"/>
      <c r="C18" s="114"/>
      <c r="D18" s="9"/>
      <c r="E18" s="10"/>
      <c r="F18" s="10"/>
      <c r="G18" s="11"/>
      <c r="H18" s="13"/>
      <c r="I18" s="12"/>
      <c r="J18" s="12"/>
      <c r="K18" s="5"/>
      <c r="L18" s="5"/>
      <c r="M18" s="5"/>
      <c r="N18" s="6">
        <f t="shared" si="0"/>
        <v>0</v>
      </c>
      <c r="O18" s="7"/>
      <c r="P18" s="24"/>
      <c r="Q18" s="7">
        <f t="shared" si="1"/>
        <v>0</v>
      </c>
      <c r="R18" s="23" t="str">
        <f t="shared" si="2"/>
        <v xml:space="preserve">ضعيف جدا </v>
      </c>
    </row>
    <row r="19" spans="1:18" ht="24.95" customHeight="1">
      <c r="A19" s="3">
        <v>13</v>
      </c>
      <c r="B19" s="114"/>
      <c r="C19" s="114"/>
      <c r="D19" s="9"/>
      <c r="E19" s="10"/>
      <c r="F19" s="10"/>
      <c r="G19" s="11"/>
      <c r="H19" s="13"/>
      <c r="I19" s="12"/>
      <c r="J19" s="12"/>
      <c r="K19" s="5"/>
      <c r="L19" s="5"/>
      <c r="M19" s="5"/>
      <c r="N19" s="6">
        <f t="shared" si="0"/>
        <v>0</v>
      </c>
      <c r="O19" s="7"/>
      <c r="P19" s="24"/>
      <c r="Q19" s="7">
        <f t="shared" si="1"/>
        <v>0</v>
      </c>
      <c r="R19" s="23" t="str">
        <f t="shared" si="2"/>
        <v xml:space="preserve">ضعيف جدا </v>
      </c>
    </row>
    <row r="20" spans="1:18" ht="24.95" customHeight="1">
      <c r="A20" s="3">
        <v>14</v>
      </c>
      <c r="B20" s="114"/>
      <c r="C20" s="114"/>
      <c r="D20" s="9"/>
      <c r="E20" s="10"/>
      <c r="F20" s="10"/>
      <c r="G20" s="11"/>
      <c r="H20" s="13"/>
      <c r="I20" s="12"/>
      <c r="J20" s="12"/>
      <c r="K20" s="5"/>
      <c r="L20" s="5"/>
      <c r="M20" s="5"/>
      <c r="N20" s="6">
        <f t="shared" si="0"/>
        <v>0</v>
      </c>
      <c r="O20" s="7"/>
      <c r="P20" s="24"/>
      <c r="Q20" s="7">
        <f t="shared" si="1"/>
        <v>0</v>
      </c>
      <c r="R20" s="23" t="str">
        <f t="shared" si="2"/>
        <v xml:space="preserve">ضعيف جدا </v>
      </c>
    </row>
    <row r="21" spans="1:18" ht="24.95" customHeight="1">
      <c r="A21" s="3">
        <v>15</v>
      </c>
      <c r="B21" s="114"/>
      <c r="C21" s="114"/>
      <c r="D21" s="9"/>
      <c r="E21" s="10"/>
      <c r="F21" s="10"/>
      <c r="G21" s="11"/>
      <c r="H21" s="13"/>
      <c r="I21" s="12"/>
      <c r="J21" s="12"/>
      <c r="K21" s="5"/>
      <c r="L21" s="5"/>
      <c r="M21" s="5"/>
      <c r="N21" s="6">
        <f t="shared" si="0"/>
        <v>0</v>
      </c>
      <c r="O21" s="7"/>
      <c r="P21" s="24"/>
      <c r="Q21" s="7">
        <f t="shared" si="1"/>
        <v>0</v>
      </c>
      <c r="R21" s="23" t="str">
        <f t="shared" si="2"/>
        <v xml:space="preserve">ضعيف جدا </v>
      </c>
    </row>
    <row r="22" spans="1:18" ht="24.95" customHeight="1">
      <c r="A22" s="3">
        <v>16</v>
      </c>
      <c r="B22" s="114"/>
      <c r="C22" s="114"/>
      <c r="D22" s="9"/>
      <c r="E22" s="10"/>
      <c r="F22" s="10"/>
      <c r="G22" s="11"/>
      <c r="H22" s="13"/>
      <c r="I22" s="12"/>
      <c r="J22" s="12"/>
      <c r="K22" s="5"/>
      <c r="L22" s="5"/>
      <c r="M22" s="5"/>
      <c r="N22" s="6">
        <f t="shared" si="0"/>
        <v>0</v>
      </c>
      <c r="O22" s="7"/>
      <c r="P22" s="24"/>
      <c r="Q22" s="7">
        <f t="shared" si="1"/>
        <v>0</v>
      </c>
      <c r="R22" s="23" t="str">
        <f t="shared" si="2"/>
        <v xml:space="preserve">ضعيف جدا </v>
      </c>
    </row>
    <row r="23" spans="1:18" ht="24.95" customHeight="1">
      <c r="A23" s="3">
        <v>17</v>
      </c>
      <c r="B23" s="114"/>
      <c r="C23" s="114"/>
      <c r="D23" s="9"/>
      <c r="E23" s="10"/>
      <c r="F23" s="10"/>
      <c r="G23" s="11"/>
      <c r="H23" s="13"/>
      <c r="I23" s="12"/>
      <c r="J23" s="12"/>
      <c r="K23" s="5"/>
      <c r="L23" s="5"/>
      <c r="M23" s="5"/>
      <c r="N23" s="6">
        <f t="shared" si="0"/>
        <v>0</v>
      </c>
      <c r="O23" s="7"/>
      <c r="P23" s="24"/>
      <c r="Q23" s="7">
        <f t="shared" si="1"/>
        <v>0</v>
      </c>
      <c r="R23" s="23" t="str">
        <f t="shared" si="2"/>
        <v xml:space="preserve">ضعيف جدا </v>
      </c>
    </row>
    <row r="24" spans="1:18" ht="24.95" customHeight="1">
      <c r="A24" s="3">
        <v>18</v>
      </c>
      <c r="B24" s="114"/>
      <c r="C24" s="114"/>
      <c r="D24" s="9"/>
      <c r="E24" s="10"/>
      <c r="F24" s="10"/>
      <c r="G24" s="11"/>
      <c r="H24" s="13"/>
      <c r="I24" s="12"/>
      <c r="J24" s="12"/>
      <c r="K24" s="5"/>
      <c r="L24" s="5"/>
      <c r="M24" s="5"/>
      <c r="N24" s="6">
        <f t="shared" si="0"/>
        <v>0</v>
      </c>
      <c r="O24" s="7"/>
      <c r="P24" s="24"/>
      <c r="Q24" s="7">
        <f t="shared" si="1"/>
        <v>0</v>
      </c>
      <c r="R24" s="23" t="str">
        <f t="shared" si="2"/>
        <v xml:space="preserve">ضعيف جدا </v>
      </c>
    </row>
    <row r="25" spans="1:18" ht="24.95" customHeight="1">
      <c r="A25" s="3">
        <v>19</v>
      </c>
      <c r="B25" s="114"/>
      <c r="C25" s="114"/>
      <c r="D25" s="9"/>
      <c r="E25" s="10"/>
      <c r="F25" s="10"/>
      <c r="G25" s="11"/>
      <c r="H25" s="13"/>
      <c r="I25" s="12"/>
      <c r="J25" s="12"/>
      <c r="K25" s="5"/>
      <c r="L25" s="5"/>
      <c r="M25" s="5"/>
      <c r="N25" s="6">
        <f t="shared" si="0"/>
        <v>0</v>
      </c>
      <c r="O25" s="7"/>
      <c r="P25" s="24"/>
      <c r="Q25" s="7">
        <f t="shared" si="1"/>
        <v>0</v>
      </c>
      <c r="R25" s="23" t="str">
        <f t="shared" si="2"/>
        <v xml:space="preserve">ضعيف جدا </v>
      </c>
    </row>
    <row r="26" spans="1:18" ht="24.95" customHeight="1">
      <c r="A26" s="3">
        <v>20</v>
      </c>
      <c r="B26" s="114"/>
      <c r="C26" s="114"/>
      <c r="D26" s="9"/>
      <c r="E26" s="10"/>
      <c r="F26" s="10"/>
      <c r="G26" s="11"/>
      <c r="H26" s="13"/>
      <c r="I26" s="12"/>
      <c r="J26" s="12"/>
      <c r="K26" s="5"/>
      <c r="L26" s="5"/>
      <c r="M26" s="5"/>
      <c r="N26" s="6">
        <f t="shared" si="0"/>
        <v>0</v>
      </c>
      <c r="O26" s="7"/>
      <c r="P26" s="24"/>
      <c r="Q26" s="7">
        <f t="shared" si="1"/>
        <v>0</v>
      </c>
      <c r="R26" s="23" t="str">
        <f t="shared" si="2"/>
        <v xml:space="preserve">ضعيف جدا </v>
      </c>
    </row>
    <row r="27" spans="1:18" ht="24.95" customHeight="1">
      <c r="A27" s="3">
        <v>21</v>
      </c>
      <c r="B27" s="114"/>
      <c r="C27" s="114"/>
      <c r="D27" s="9"/>
      <c r="E27" s="10"/>
      <c r="F27" s="10"/>
      <c r="G27" s="11"/>
      <c r="H27" s="13"/>
      <c r="I27" s="12"/>
      <c r="J27" s="12"/>
      <c r="K27" s="5"/>
      <c r="L27" s="5"/>
      <c r="M27" s="5"/>
      <c r="N27" s="6">
        <f t="shared" si="0"/>
        <v>0</v>
      </c>
      <c r="O27" s="7"/>
      <c r="P27" s="24"/>
      <c r="Q27" s="7">
        <f t="shared" si="1"/>
        <v>0</v>
      </c>
      <c r="R27" s="23" t="str">
        <f t="shared" si="2"/>
        <v xml:space="preserve">ضعيف جدا </v>
      </c>
    </row>
    <row r="28" spans="1:18" ht="24.95" customHeight="1">
      <c r="A28" s="3">
        <v>22</v>
      </c>
      <c r="B28" s="114"/>
      <c r="C28" s="114"/>
      <c r="D28" s="9"/>
      <c r="E28" s="10"/>
      <c r="F28" s="10"/>
      <c r="G28" s="11"/>
      <c r="H28" s="13"/>
      <c r="I28" s="12"/>
      <c r="J28" s="12"/>
      <c r="K28" s="5"/>
      <c r="L28" s="5"/>
      <c r="M28" s="5"/>
      <c r="N28" s="6">
        <f t="shared" si="0"/>
        <v>0</v>
      </c>
      <c r="O28" s="7"/>
      <c r="P28" s="24"/>
      <c r="Q28" s="7">
        <f t="shared" si="1"/>
        <v>0</v>
      </c>
      <c r="R28" s="23" t="str">
        <f t="shared" si="2"/>
        <v xml:space="preserve">ضعيف جدا </v>
      </c>
    </row>
    <row r="29" spans="1:18" ht="24.95" customHeight="1">
      <c r="A29" s="3">
        <v>23</v>
      </c>
      <c r="B29" s="114"/>
      <c r="C29" s="114"/>
      <c r="D29" s="9"/>
      <c r="E29" s="10"/>
      <c r="F29" s="10"/>
      <c r="G29" s="11"/>
      <c r="H29" s="13"/>
      <c r="I29" s="12"/>
      <c r="J29" s="12"/>
      <c r="K29" s="5"/>
      <c r="L29" s="5"/>
      <c r="M29" s="5"/>
      <c r="N29" s="6">
        <f t="shared" si="0"/>
        <v>0</v>
      </c>
      <c r="O29" s="7"/>
      <c r="P29" s="24"/>
      <c r="Q29" s="7">
        <f t="shared" si="1"/>
        <v>0</v>
      </c>
      <c r="R29" s="23" t="str">
        <f t="shared" si="2"/>
        <v xml:space="preserve">ضعيف جدا </v>
      </c>
    </row>
    <row r="30" spans="1:18" ht="24.95" customHeight="1">
      <c r="A30" s="3">
        <v>24</v>
      </c>
      <c r="B30" s="114"/>
      <c r="C30" s="114"/>
      <c r="D30" s="9"/>
      <c r="E30" s="10"/>
      <c r="F30" s="10"/>
      <c r="G30" s="11"/>
      <c r="H30" s="13"/>
      <c r="I30" s="12"/>
      <c r="J30" s="12"/>
      <c r="K30" s="5"/>
      <c r="L30" s="5"/>
      <c r="M30" s="5"/>
      <c r="N30" s="6">
        <f t="shared" si="0"/>
        <v>0</v>
      </c>
      <c r="O30" s="7"/>
      <c r="P30" s="24"/>
      <c r="Q30" s="7">
        <f t="shared" si="1"/>
        <v>0</v>
      </c>
      <c r="R30" s="23" t="str">
        <f t="shared" si="2"/>
        <v xml:space="preserve">ضعيف جدا </v>
      </c>
    </row>
    <row r="31" spans="1:18" ht="24.95" customHeight="1">
      <c r="A31" s="3">
        <v>25</v>
      </c>
      <c r="B31" s="114"/>
      <c r="C31" s="114"/>
      <c r="D31" s="9"/>
      <c r="E31" s="10"/>
      <c r="F31" s="10"/>
      <c r="G31" s="11"/>
      <c r="H31" s="13"/>
      <c r="I31" s="12"/>
      <c r="J31" s="12"/>
      <c r="K31" s="5"/>
      <c r="L31" s="5"/>
      <c r="M31" s="5"/>
      <c r="N31" s="6">
        <f t="shared" si="0"/>
        <v>0</v>
      </c>
      <c r="O31" s="7"/>
      <c r="P31" s="24"/>
      <c r="Q31" s="7">
        <f t="shared" si="1"/>
        <v>0</v>
      </c>
      <c r="R31" s="23" t="str">
        <f t="shared" si="2"/>
        <v xml:space="preserve">ضعيف جدا </v>
      </c>
    </row>
    <row r="32" spans="1:18" ht="24.95" customHeight="1">
      <c r="A32" s="3">
        <v>26</v>
      </c>
      <c r="B32" s="114"/>
      <c r="C32" s="114"/>
      <c r="D32" s="9"/>
      <c r="E32" s="10"/>
      <c r="F32" s="10"/>
      <c r="G32" s="11"/>
      <c r="H32" s="13"/>
      <c r="I32" s="12"/>
      <c r="J32" s="12"/>
      <c r="K32" s="5"/>
      <c r="L32" s="5"/>
      <c r="M32" s="5"/>
      <c r="N32" s="6">
        <f t="shared" si="0"/>
        <v>0</v>
      </c>
      <c r="O32" s="7"/>
      <c r="P32" s="24"/>
      <c r="Q32" s="7">
        <f t="shared" si="1"/>
        <v>0</v>
      </c>
      <c r="R32" s="23" t="str">
        <f t="shared" si="2"/>
        <v xml:space="preserve">ضعيف جدا </v>
      </c>
    </row>
    <row r="33" spans="1:18" ht="24.95" customHeight="1">
      <c r="A33" s="3">
        <v>27</v>
      </c>
      <c r="B33" s="114"/>
      <c r="C33" s="114"/>
      <c r="D33" s="9"/>
      <c r="E33" s="10"/>
      <c r="F33" s="10"/>
      <c r="G33" s="11"/>
      <c r="H33" s="13"/>
      <c r="I33" s="12"/>
      <c r="J33" s="12"/>
      <c r="K33" s="5"/>
      <c r="L33" s="5"/>
      <c r="M33" s="5"/>
      <c r="N33" s="6">
        <f t="shared" si="0"/>
        <v>0</v>
      </c>
      <c r="O33" s="7"/>
      <c r="P33" s="24"/>
      <c r="Q33" s="7">
        <f t="shared" si="1"/>
        <v>0</v>
      </c>
      <c r="R33" s="23" t="str">
        <f t="shared" si="2"/>
        <v xml:space="preserve">ضعيف جدا </v>
      </c>
    </row>
    <row r="34" spans="1:18" ht="24.95" customHeight="1">
      <c r="A34" s="3">
        <v>28</v>
      </c>
      <c r="B34" s="114"/>
      <c r="C34" s="114"/>
      <c r="D34" s="9"/>
      <c r="E34" s="10"/>
      <c r="F34" s="10"/>
      <c r="G34" s="11"/>
      <c r="H34" s="13"/>
      <c r="I34" s="12"/>
      <c r="J34" s="12"/>
      <c r="K34" s="5"/>
      <c r="L34" s="5"/>
      <c r="M34" s="5"/>
      <c r="N34" s="6">
        <f t="shared" si="0"/>
        <v>0</v>
      </c>
      <c r="O34" s="7"/>
      <c r="P34" s="24"/>
      <c r="Q34" s="7">
        <f t="shared" si="1"/>
        <v>0</v>
      </c>
      <c r="R34" s="23" t="str">
        <f t="shared" si="2"/>
        <v xml:space="preserve">ضعيف جدا </v>
      </c>
    </row>
    <row r="35" spans="1:18" ht="24.95" customHeight="1">
      <c r="A35" s="3">
        <v>29</v>
      </c>
      <c r="B35" s="114"/>
      <c r="C35" s="114"/>
      <c r="D35" s="9"/>
      <c r="E35" s="10"/>
      <c r="F35" s="10"/>
      <c r="G35" s="11"/>
      <c r="H35" s="13"/>
      <c r="I35" s="12"/>
      <c r="J35" s="12"/>
      <c r="K35" s="5"/>
      <c r="L35" s="5"/>
      <c r="M35" s="5"/>
      <c r="N35" s="6">
        <f t="shared" si="0"/>
        <v>0</v>
      </c>
      <c r="O35" s="7"/>
      <c r="P35" s="24"/>
      <c r="Q35" s="7">
        <f t="shared" si="1"/>
        <v>0</v>
      </c>
      <c r="R35" s="23" t="str">
        <f t="shared" si="2"/>
        <v xml:space="preserve">ضعيف جدا </v>
      </c>
    </row>
    <row r="36" spans="1:18" ht="24.95" customHeight="1">
      <c r="A36" s="3">
        <v>30</v>
      </c>
      <c r="B36" s="114"/>
      <c r="C36" s="114"/>
      <c r="D36" s="9"/>
      <c r="E36" s="10"/>
      <c r="F36" s="10"/>
      <c r="G36" s="11"/>
      <c r="H36" s="13"/>
      <c r="I36" s="12"/>
      <c r="J36" s="12"/>
      <c r="K36" s="5"/>
      <c r="L36" s="5"/>
      <c r="M36" s="5"/>
      <c r="N36" s="6">
        <f t="shared" si="0"/>
        <v>0</v>
      </c>
      <c r="O36" s="7"/>
      <c r="P36" s="24"/>
      <c r="Q36" s="7">
        <f t="shared" si="1"/>
        <v>0</v>
      </c>
      <c r="R36" s="23" t="str">
        <f t="shared" si="2"/>
        <v xml:space="preserve">ضعيف جدا </v>
      </c>
    </row>
    <row r="37" spans="1:18" ht="24.95" customHeight="1">
      <c r="A37" s="3">
        <v>31</v>
      </c>
      <c r="B37" s="114"/>
      <c r="C37" s="114"/>
      <c r="D37" s="9"/>
      <c r="E37" s="10"/>
      <c r="F37" s="10"/>
      <c r="G37" s="11"/>
      <c r="H37" s="13"/>
      <c r="I37" s="12"/>
      <c r="J37" s="12"/>
      <c r="K37" s="5"/>
      <c r="L37" s="5"/>
      <c r="M37" s="5"/>
      <c r="N37" s="6">
        <f t="shared" si="0"/>
        <v>0</v>
      </c>
      <c r="O37" s="7"/>
      <c r="P37" s="24"/>
      <c r="Q37" s="7">
        <f t="shared" si="1"/>
        <v>0</v>
      </c>
      <c r="R37" s="23" t="str">
        <f t="shared" si="2"/>
        <v xml:space="preserve">ضعيف جدا </v>
      </c>
    </row>
    <row r="38" spans="1:18" ht="24.95" customHeight="1">
      <c r="A38" s="3">
        <v>32</v>
      </c>
      <c r="B38" s="114"/>
      <c r="C38" s="114"/>
      <c r="D38" s="9"/>
      <c r="E38" s="10"/>
      <c r="F38" s="10"/>
      <c r="G38" s="11"/>
      <c r="H38" s="13"/>
      <c r="I38" s="12"/>
      <c r="J38" s="12"/>
      <c r="K38" s="5"/>
      <c r="L38" s="5"/>
      <c r="M38" s="5"/>
      <c r="N38" s="6">
        <f t="shared" si="0"/>
        <v>0</v>
      </c>
      <c r="O38" s="7"/>
      <c r="P38" s="24"/>
      <c r="Q38" s="7">
        <f t="shared" si="1"/>
        <v>0</v>
      </c>
      <c r="R38" s="23" t="str">
        <f t="shared" si="2"/>
        <v xml:space="preserve">ضعيف جدا </v>
      </c>
    </row>
    <row r="39" spans="1:18" ht="24.95" customHeight="1">
      <c r="A39" s="3">
        <v>33</v>
      </c>
      <c r="B39" s="114"/>
      <c r="C39" s="114"/>
      <c r="D39" s="9"/>
      <c r="E39" s="10"/>
      <c r="F39" s="10"/>
      <c r="G39" s="11"/>
      <c r="H39" s="13"/>
      <c r="I39" s="12"/>
      <c r="J39" s="12"/>
      <c r="K39" s="5"/>
      <c r="L39" s="5"/>
      <c r="M39" s="5"/>
      <c r="N39" s="6">
        <f t="shared" si="0"/>
        <v>0</v>
      </c>
      <c r="O39" s="7"/>
      <c r="P39" s="24"/>
      <c r="Q39" s="7">
        <f t="shared" si="1"/>
        <v>0</v>
      </c>
      <c r="R39" s="23" t="str">
        <f t="shared" si="2"/>
        <v xml:space="preserve">ضعيف جدا </v>
      </c>
    </row>
    <row r="40" spans="1:18" ht="24.95" customHeight="1">
      <c r="A40" s="3">
        <v>34</v>
      </c>
      <c r="B40" s="114"/>
      <c r="C40" s="114"/>
      <c r="D40" s="9"/>
      <c r="E40" s="10"/>
      <c r="F40" s="10"/>
      <c r="G40" s="11"/>
      <c r="H40" s="13"/>
      <c r="I40" s="12"/>
      <c r="J40" s="12"/>
      <c r="K40" s="5"/>
      <c r="L40" s="5"/>
      <c r="M40" s="5"/>
      <c r="N40" s="6">
        <f t="shared" si="0"/>
        <v>0</v>
      </c>
      <c r="O40" s="7"/>
      <c r="P40" s="24"/>
      <c r="Q40" s="7">
        <f t="shared" si="1"/>
        <v>0</v>
      </c>
      <c r="R40" s="23" t="str">
        <f t="shared" si="2"/>
        <v xml:space="preserve">ضعيف جدا </v>
      </c>
    </row>
    <row r="41" spans="1:18" ht="24.95" customHeight="1">
      <c r="A41" s="3">
        <v>35</v>
      </c>
      <c r="B41" s="114"/>
      <c r="C41" s="114"/>
      <c r="D41" s="9"/>
      <c r="E41" s="10"/>
      <c r="F41" s="10"/>
      <c r="G41" s="11"/>
      <c r="H41" s="13"/>
      <c r="I41" s="12"/>
      <c r="J41" s="12"/>
      <c r="K41" s="5"/>
      <c r="L41" s="5"/>
      <c r="M41" s="5"/>
      <c r="N41" s="6">
        <f t="shared" si="0"/>
        <v>0</v>
      </c>
      <c r="O41" s="7"/>
      <c r="P41" s="24"/>
      <c r="Q41" s="7">
        <f t="shared" si="1"/>
        <v>0</v>
      </c>
      <c r="R41" s="23" t="str">
        <f t="shared" si="2"/>
        <v xml:space="preserve">ضعيف جدا </v>
      </c>
    </row>
    <row r="42" spans="1:18" ht="24.95" customHeight="1">
      <c r="A42" s="3">
        <v>36</v>
      </c>
      <c r="B42" s="37"/>
      <c r="C42" s="38"/>
      <c r="D42" s="9"/>
      <c r="E42" s="10"/>
      <c r="F42" s="10"/>
      <c r="G42" s="11"/>
      <c r="H42" s="13"/>
      <c r="I42" s="12"/>
      <c r="J42" s="12"/>
      <c r="K42" s="5"/>
      <c r="L42" s="5"/>
      <c r="M42" s="5"/>
      <c r="N42" s="6">
        <f t="shared" si="0"/>
        <v>0</v>
      </c>
      <c r="O42" s="7"/>
      <c r="P42" s="24"/>
      <c r="Q42" s="7">
        <f t="shared" si="1"/>
        <v>0</v>
      </c>
      <c r="R42" s="23" t="str">
        <f t="shared" si="2"/>
        <v xml:space="preserve">ضعيف جدا </v>
      </c>
    </row>
    <row r="43" spans="1:18" ht="24.95" customHeight="1">
      <c r="A43" s="3">
        <v>37</v>
      </c>
      <c r="B43" s="37"/>
      <c r="C43" s="38"/>
      <c r="D43" s="9"/>
      <c r="E43" s="10"/>
      <c r="F43" s="10"/>
      <c r="G43" s="11"/>
      <c r="H43" s="13"/>
      <c r="I43" s="12"/>
      <c r="J43" s="12"/>
      <c r="K43" s="5"/>
      <c r="L43" s="5"/>
      <c r="M43" s="5"/>
      <c r="N43" s="6">
        <f t="shared" si="0"/>
        <v>0</v>
      </c>
      <c r="O43" s="7"/>
      <c r="P43" s="24"/>
      <c r="Q43" s="7">
        <f t="shared" si="1"/>
        <v>0</v>
      </c>
      <c r="R43" s="23" t="str">
        <f t="shared" si="2"/>
        <v xml:space="preserve">ضعيف جدا </v>
      </c>
    </row>
    <row r="44" spans="1:18" ht="24.95" customHeight="1">
      <c r="A44" s="3">
        <v>38</v>
      </c>
      <c r="B44" s="37"/>
      <c r="C44" s="38"/>
      <c r="D44" s="9"/>
      <c r="E44" s="10"/>
      <c r="F44" s="10"/>
      <c r="G44" s="11"/>
      <c r="H44" s="13"/>
      <c r="I44" s="12"/>
      <c r="J44" s="12"/>
      <c r="K44" s="5"/>
      <c r="L44" s="5"/>
      <c r="M44" s="5"/>
      <c r="N44" s="6">
        <f t="shared" si="0"/>
        <v>0</v>
      </c>
      <c r="O44" s="7"/>
      <c r="P44" s="24"/>
      <c r="Q44" s="7">
        <f t="shared" si="1"/>
        <v>0</v>
      </c>
      <c r="R44" s="23" t="str">
        <f t="shared" si="2"/>
        <v xml:space="preserve">ضعيف جدا </v>
      </c>
    </row>
    <row r="45" spans="1:18" ht="24.95" customHeight="1">
      <c r="A45" s="3">
        <v>39</v>
      </c>
      <c r="B45" s="114"/>
      <c r="C45" s="114"/>
      <c r="D45" s="9"/>
      <c r="E45" s="10"/>
      <c r="F45" s="10"/>
      <c r="G45" s="11"/>
      <c r="H45" s="13"/>
      <c r="I45" s="12"/>
      <c r="J45" s="12"/>
      <c r="K45" s="5"/>
      <c r="L45" s="5"/>
      <c r="M45" s="5"/>
      <c r="N45" s="6">
        <f t="shared" si="0"/>
        <v>0</v>
      </c>
      <c r="O45" s="7"/>
      <c r="P45" s="24"/>
      <c r="Q45" s="7">
        <f t="shared" si="1"/>
        <v>0</v>
      </c>
      <c r="R45" s="23" t="str">
        <f t="shared" si="2"/>
        <v xml:space="preserve">ضعيف جدا </v>
      </c>
    </row>
    <row r="46" spans="1:18" ht="24.95" customHeight="1">
      <c r="A46" s="4">
        <v>40</v>
      </c>
      <c r="B46" s="114"/>
      <c r="C46" s="114"/>
      <c r="D46" s="14"/>
      <c r="E46" s="10"/>
      <c r="F46" s="10"/>
      <c r="G46" s="10"/>
      <c r="H46" s="13"/>
      <c r="I46" s="12"/>
      <c r="J46" s="12"/>
      <c r="K46" s="5"/>
      <c r="L46" s="5"/>
      <c r="M46" s="5"/>
      <c r="N46" s="6">
        <f t="shared" si="0"/>
        <v>0</v>
      </c>
      <c r="O46" s="7"/>
      <c r="P46" s="24"/>
      <c r="Q46" s="7">
        <f t="shared" si="1"/>
        <v>0</v>
      </c>
      <c r="R46" s="23" t="str">
        <f t="shared" si="2"/>
        <v xml:space="preserve">ضعيف جدا </v>
      </c>
    </row>
    <row r="47" spans="1:18" ht="2.1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8"/>
      <c r="O47" s="8"/>
      <c r="P47" s="8"/>
      <c r="Q47" s="8"/>
      <c r="R47" s="1"/>
    </row>
    <row r="48" spans="1:18" ht="69.95" customHeight="1">
      <c r="A48" s="39" t="s">
        <v>37</v>
      </c>
      <c r="B48" s="40"/>
      <c r="C48" s="20" t="s">
        <v>1</v>
      </c>
      <c r="D48" s="47" t="s">
        <v>2</v>
      </c>
      <c r="E48" s="48"/>
      <c r="F48" s="47" t="s">
        <v>3</v>
      </c>
      <c r="G48" s="48"/>
      <c r="H48" s="21" t="s">
        <v>38</v>
      </c>
      <c r="I48" s="22" t="s">
        <v>39</v>
      </c>
      <c r="J48" s="86" t="s">
        <v>4</v>
      </c>
      <c r="K48" s="87"/>
      <c r="L48" s="86" t="s">
        <v>5</v>
      </c>
      <c r="M48" s="87"/>
      <c r="N48" s="86" t="s">
        <v>6</v>
      </c>
      <c r="O48" s="87"/>
      <c r="P48" s="86" t="s">
        <v>7</v>
      </c>
      <c r="Q48" s="87"/>
      <c r="R48" s="156"/>
    </row>
    <row r="49" spans="1:18" ht="24.95" customHeight="1">
      <c r="A49" s="41"/>
      <c r="B49" s="42"/>
      <c r="C49" s="15">
        <f>MIN(Q7:Q46)</f>
        <v>0</v>
      </c>
      <c r="D49" s="49">
        <f>MAX(Q7:Q46)</f>
        <v>16</v>
      </c>
      <c r="E49" s="50"/>
      <c r="F49" s="45">
        <f>AVERAGE(Q7:Q46)</f>
        <v>1.5274999999999999</v>
      </c>
      <c r="G49" s="46"/>
      <c r="H49" s="90">
        <f>G49*100/J49</f>
        <v>0</v>
      </c>
      <c r="I49" s="91"/>
      <c r="J49" s="88">
        <f xml:space="preserve"> COUNT(A7:A46)</f>
        <v>40</v>
      </c>
      <c r="K49" s="89"/>
      <c r="L49" s="84">
        <f>COUNTIF(Q7:Q46,"&gt;=10")</f>
        <v>4</v>
      </c>
      <c r="M49" s="85"/>
      <c r="N49" s="97">
        <f>COUNTIF(Q7:Q46,"&lt;10")</f>
        <v>36</v>
      </c>
      <c r="O49" s="98"/>
      <c r="P49" s="95">
        <f>COUNTIF(P7:P46,"&lt;=0")</f>
        <v>1</v>
      </c>
      <c r="Q49" s="96"/>
      <c r="R49" s="157"/>
    </row>
    <row r="50" spans="1:18" ht="9.9499999999999993" customHeight="1">
      <c r="A50" s="43"/>
      <c r="B50" s="43"/>
      <c r="C50" s="43"/>
      <c r="D50" s="43"/>
      <c r="E50" s="43"/>
      <c r="F50" s="44"/>
      <c r="G50" s="44"/>
      <c r="H50" s="44"/>
      <c r="I50" s="44"/>
      <c r="J50" s="44"/>
      <c r="K50" s="44"/>
      <c r="L50" s="44"/>
      <c r="M50" s="44"/>
      <c r="N50" s="44"/>
      <c r="O50" s="43"/>
      <c r="P50" s="43"/>
      <c r="Q50" s="43"/>
      <c r="R50" s="43"/>
    </row>
    <row r="51" spans="1:18" ht="24.95" customHeight="1">
      <c r="A51" s="17"/>
      <c r="B51" s="17"/>
      <c r="C51" s="17"/>
      <c r="D51" s="158"/>
      <c r="E51" s="19"/>
      <c r="F51" s="25" t="s">
        <v>8</v>
      </c>
      <c r="G51" s="26"/>
      <c r="H51" s="26"/>
      <c r="I51" s="27"/>
      <c r="J51" s="25" t="s">
        <v>0</v>
      </c>
      <c r="K51" s="26"/>
      <c r="L51" s="26"/>
      <c r="M51" s="26"/>
      <c r="N51" s="27"/>
      <c r="O51" s="16"/>
      <c r="P51" s="17"/>
      <c r="Q51" s="17"/>
      <c r="R51" s="17"/>
    </row>
    <row r="52" spans="1:18" ht="20.100000000000001" customHeight="1">
      <c r="A52" s="17"/>
      <c r="B52" s="17"/>
      <c r="C52" s="17"/>
      <c r="D52" s="158"/>
      <c r="E52" s="19"/>
      <c r="F52" s="28">
        <f>COUNTIF($R$7:$R$46,J52)</f>
        <v>0</v>
      </c>
      <c r="G52" s="29"/>
      <c r="H52" s="29"/>
      <c r="I52" s="30"/>
      <c r="J52" s="51" t="s">
        <v>9</v>
      </c>
      <c r="K52" s="52"/>
      <c r="L52" s="52"/>
      <c r="M52" s="52"/>
      <c r="N52" s="53"/>
      <c r="O52" s="16"/>
      <c r="P52" s="17"/>
      <c r="Q52" s="17"/>
      <c r="R52" s="17"/>
    </row>
    <row r="53" spans="1:18" ht="20.100000000000001" customHeight="1">
      <c r="A53" s="17"/>
      <c r="B53" s="17"/>
      <c r="C53" s="17"/>
      <c r="D53" s="158"/>
      <c r="E53" s="19"/>
      <c r="F53" s="31">
        <f t="shared" ref="F53:F58" si="3">COUNTIF($R$7:$R$46,J53)</f>
        <v>1</v>
      </c>
      <c r="G53" s="32"/>
      <c r="H53" s="32"/>
      <c r="I53" s="33"/>
      <c r="J53" s="54" t="s">
        <v>13</v>
      </c>
      <c r="K53" s="55"/>
      <c r="L53" s="55"/>
      <c r="M53" s="55"/>
      <c r="N53" s="56"/>
      <c r="O53" s="16"/>
      <c r="P53" s="17"/>
      <c r="Q53" s="17"/>
      <c r="R53" s="17"/>
    </row>
    <row r="54" spans="1:18" ht="20.100000000000001" customHeight="1">
      <c r="A54" s="17"/>
      <c r="B54" s="17"/>
      <c r="C54" s="17"/>
      <c r="D54" s="158"/>
      <c r="E54" s="19"/>
      <c r="F54" s="34">
        <f t="shared" si="3"/>
        <v>1</v>
      </c>
      <c r="G54" s="35"/>
      <c r="H54" s="35"/>
      <c r="I54" s="36"/>
      <c r="J54" s="57" t="s">
        <v>10</v>
      </c>
      <c r="K54" s="58"/>
      <c r="L54" s="58"/>
      <c r="M54" s="58"/>
      <c r="N54" s="59"/>
      <c r="O54" s="16"/>
      <c r="P54" s="17"/>
      <c r="Q54" s="17"/>
      <c r="R54" s="17"/>
    </row>
    <row r="55" spans="1:18" ht="20.100000000000001" customHeight="1">
      <c r="A55" s="17"/>
      <c r="B55" s="17"/>
      <c r="C55" s="17"/>
      <c r="D55" s="158"/>
      <c r="E55" s="19"/>
      <c r="F55" s="72">
        <f t="shared" si="3"/>
        <v>1</v>
      </c>
      <c r="G55" s="73"/>
      <c r="H55" s="73"/>
      <c r="I55" s="74"/>
      <c r="J55" s="60" t="s">
        <v>11</v>
      </c>
      <c r="K55" s="61"/>
      <c r="L55" s="61"/>
      <c r="M55" s="61"/>
      <c r="N55" s="62"/>
      <c r="O55" s="16"/>
      <c r="P55" s="17"/>
      <c r="Q55" s="17"/>
      <c r="R55" s="17"/>
    </row>
    <row r="56" spans="1:18" ht="20.100000000000001" customHeight="1">
      <c r="A56" s="17"/>
      <c r="B56" s="17"/>
      <c r="C56" s="17"/>
      <c r="D56" s="158"/>
      <c r="E56" s="19"/>
      <c r="F56" s="75">
        <f t="shared" si="3"/>
        <v>1</v>
      </c>
      <c r="G56" s="76"/>
      <c r="H56" s="76"/>
      <c r="I56" s="77"/>
      <c r="J56" s="63" t="s">
        <v>14</v>
      </c>
      <c r="K56" s="64"/>
      <c r="L56" s="64"/>
      <c r="M56" s="64"/>
      <c r="N56" s="65"/>
      <c r="O56" s="16"/>
      <c r="P56" s="17"/>
      <c r="Q56" s="17"/>
      <c r="R56" s="17"/>
    </row>
    <row r="57" spans="1:18" ht="20.100000000000001" customHeight="1">
      <c r="A57" s="17"/>
      <c r="B57" s="17"/>
      <c r="C57" s="17"/>
      <c r="D57" s="158"/>
      <c r="E57" s="19"/>
      <c r="F57" s="78">
        <f t="shared" si="3"/>
        <v>0</v>
      </c>
      <c r="G57" s="79"/>
      <c r="H57" s="79"/>
      <c r="I57" s="80"/>
      <c r="J57" s="66" t="s">
        <v>12</v>
      </c>
      <c r="K57" s="67"/>
      <c r="L57" s="67"/>
      <c r="M57" s="67"/>
      <c r="N57" s="68"/>
      <c r="O57" s="16"/>
      <c r="P57" s="17"/>
      <c r="Q57" s="17"/>
      <c r="R57" s="17"/>
    </row>
    <row r="58" spans="1:18" ht="20.100000000000001" customHeight="1">
      <c r="A58" s="17"/>
      <c r="B58" s="17"/>
      <c r="C58" s="17"/>
      <c r="D58" s="17"/>
      <c r="E58" s="19"/>
      <c r="F58" s="81">
        <f t="shared" si="3"/>
        <v>36</v>
      </c>
      <c r="G58" s="82"/>
      <c r="H58" s="82"/>
      <c r="I58" s="83"/>
      <c r="J58" s="69" t="s">
        <v>40</v>
      </c>
      <c r="K58" s="70"/>
      <c r="L58" s="70"/>
      <c r="M58" s="70"/>
      <c r="N58" s="71"/>
      <c r="O58" s="16"/>
      <c r="P58" s="17"/>
      <c r="Q58" s="17"/>
      <c r="R58" s="17"/>
    </row>
    <row r="59" spans="1:18">
      <c r="A59" s="17"/>
      <c r="B59" s="17"/>
      <c r="C59" s="17"/>
      <c r="D59" s="17"/>
      <c r="E59" s="17"/>
      <c r="F59" s="18"/>
      <c r="G59" s="18"/>
      <c r="H59" s="18"/>
      <c r="I59" s="18"/>
      <c r="J59" s="18"/>
      <c r="K59" s="18"/>
      <c r="L59" s="18"/>
      <c r="M59" s="18"/>
      <c r="N59" s="18"/>
      <c r="O59" s="17"/>
      <c r="P59" s="17"/>
      <c r="Q59" s="17"/>
      <c r="R59" s="17"/>
    </row>
    <row r="60" spans="1:18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</row>
    <row r="61" spans="1:18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</row>
    <row r="62" spans="1:18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</row>
  </sheetData>
  <mergeCells count="100">
    <mergeCell ref="D51:D57"/>
    <mergeCell ref="B17:C17"/>
    <mergeCell ref="B18:C18"/>
    <mergeCell ref="B19:C19"/>
    <mergeCell ref="B20:C20"/>
    <mergeCell ref="B40:C40"/>
    <mergeCell ref="B31:C31"/>
    <mergeCell ref="B32:C32"/>
    <mergeCell ref="B33:C33"/>
    <mergeCell ref="B34:C34"/>
    <mergeCell ref="B35:C35"/>
    <mergeCell ref="B41:C41"/>
    <mergeCell ref="B45:C45"/>
    <mergeCell ref="B46:C46"/>
    <mergeCell ref="B36:C36"/>
    <mergeCell ref="B37:C37"/>
    <mergeCell ref="R48:R49"/>
    <mergeCell ref="B12:C12"/>
    <mergeCell ref="B13:C13"/>
    <mergeCell ref="B14:C14"/>
    <mergeCell ref="B15:C15"/>
    <mergeCell ref="B16:C16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N2:N6"/>
    <mergeCell ref="K2:M2"/>
    <mergeCell ref="B7:C7"/>
    <mergeCell ref="B8:C8"/>
    <mergeCell ref="B9:C9"/>
    <mergeCell ref="K4:K6"/>
    <mergeCell ref="K3:M3"/>
    <mergeCell ref="O1:O6"/>
    <mergeCell ref="P1:P6"/>
    <mergeCell ref="L48:M48"/>
    <mergeCell ref="A1:C1"/>
    <mergeCell ref="A2:C2"/>
    <mergeCell ref="A3:C3"/>
    <mergeCell ref="A4:C4"/>
    <mergeCell ref="A5:C5"/>
    <mergeCell ref="B6:C6"/>
    <mergeCell ref="D1:N1"/>
    <mergeCell ref="D2:G2"/>
    <mergeCell ref="D3:D6"/>
    <mergeCell ref="E3:E6"/>
    <mergeCell ref="F3:F6"/>
    <mergeCell ref="G3:G6"/>
    <mergeCell ref="H2:J2"/>
    <mergeCell ref="B38:C38"/>
    <mergeCell ref="B39:C39"/>
    <mergeCell ref="F48:G48"/>
    <mergeCell ref="B10:C10"/>
    <mergeCell ref="B11:C11"/>
    <mergeCell ref="L49:M49"/>
    <mergeCell ref="J48:K48"/>
    <mergeCell ref="J49:K49"/>
    <mergeCell ref="H49:I49"/>
    <mergeCell ref="R1:R6"/>
    <mergeCell ref="P48:Q48"/>
    <mergeCell ref="P49:Q49"/>
    <mergeCell ref="N48:O48"/>
    <mergeCell ref="N49:O49"/>
    <mergeCell ref="J4:J6"/>
    <mergeCell ref="I4:I6"/>
    <mergeCell ref="H4:H6"/>
    <mergeCell ref="H3:J3"/>
    <mergeCell ref="Q1:Q6"/>
    <mergeCell ref="M4:M6"/>
    <mergeCell ref="L4:L6"/>
    <mergeCell ref="J55:N55"/>
    <mergeCell ref="J56:N56"/>
    <mergeCell ref="J57:N57"/>
    <mergeCell ref="J58:N58"/>
    <mergeCell ref="F55:I55"/>
    <mergeCell ref="F56:I56"/>
    <mergeCell ref="F57:I57"/>
    <mergeCell ref="F58:I58"/>
    <mergeCell ref="F51:I51"/>
    <mergeCell ref="F52:I52"/>
    <mergeCell ref="F53:I53"/>
    <mergeCell ref="F54:I54"/>
    <mergeCell ref="B42:C42"/>
    <mergeCell ref="B43:C43"/>
    <mergeCell ref="B44:C44"/>
    <mergeCell ref="A48:B49"/>
    <mergeCell ref="A50:R50"/>
    <mergeCell ref="F49:G49"/>
    <mergeCell ref="D48:E48"/>
    <mergeCell ref="D49:E49"/>
    <mergeCell ref="J51:N51"/>
    <mergeCell ref="J52:N52"/>
    <mergeCell ref="J53:N53"/>
    <mergeCell ref="J54:N54"/>
  </mergeCells>
  <pageMargins left="0.70866141732283472" right="0.70866141732283472" top="0.74803149606299213" bottom="0.74803149606299213" header="0.31496062992125984" footer="0.31496062992125984"/>
  <pageSetup paperSize="9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زوالي سيف الدين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Boubeker</cp:lastModifiedBy>
  <cp:lastPrinted>2020-12-25T22:17:44Z</cp:lastPrinted>
  <dcterms:created xsi:type="dcterms:W3CDTF">2018-12-15T14:09:37Z</dcterms:created>
  <dcterms:modified xsi:type="dcterms:W3CDTF">2021-01-21T18:05:32Z</dcterms:modified>
</cp:coreProperties>
</file>