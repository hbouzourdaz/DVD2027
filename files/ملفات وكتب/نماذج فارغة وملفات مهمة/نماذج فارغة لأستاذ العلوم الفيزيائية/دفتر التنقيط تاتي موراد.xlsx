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xr:revisionPtr revIDLastSave="0" documentId="8_{CB276592-D63F-804A-B12C-56E7D26652E8}" xr6:coauthVersionLast="34" xr6:coauthVersionMax="34" xr10:uidLastSave="{00000000-0000-0000-0000-000000000000}"/>
  <bookViews>
    <workbookView xWindow="240" yWindow="75" windowWidth="20055" windowHeight="7935" xr2:uid="{00000000-000D-0000-FFFF-FFFF00000000}"/>
  </bookViews>
  <sheets>
    <sheet name="Feuil1" sheetId="1" r:id="rId1"/>
    <sheet name="Feuil2" sheetId="2" r:id="rId2"/>
    <sheet name="Feuil3" sheetId="3" r:id="rId3"/>
  </sheets>
  <calcPr calcId="179020"/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8" i="1"/>
  <c r="I9" i="1"/>
  <c r="K41" i="1"/>
  <c r="K42" i="1"/>
  <c r="K43" i="1"/>
  <c r="K44" i="1"/>
  <c r="K45" i="1"/>
  <c r="K46" i="1"/>
  <c r="K47" i="1"/>
  <c r="I10" i="1"/>
  <c r="L10" i="1"/>
  <c r="M10" i="1"/>
  <c r="I11" i="1"/>
  <c r="I12" i="1"/>
  <c r="L12" i="1"/>
  <c r="M12" i="1"/>
  <c r="I13" i="1"/>
  <c r="L13" i="1"/>
  <c r="M13" i="1"/>
  <c r="I14" i="1"/>
  <c r="L14" i="1"/>
  <c r="M14" i="1"/>
  <c r="I15" i="1"/>
  <c r="I16" i="1"/>
  <c r="I17" i="1"/>
  <c r="L17" i="1"/>
  <c r="M17" i="1"/>
  <c r="I18" i="1"/>
  <c r="I19" i="1"/>
  <c r="I20" i="1"/>
  <c r="L20" i="1"/>
  <c r="M20" i="1"/>
  <c r="I21" i="1"/>
  <c r="L21" i="1"/>
  <c r="M21" i="1"/>
  <c r="I22" i="1"/>
  <c r="I23" i="1"/>
  <c r="I24" i="1"/>
  <c r="I25" i="1"/>
  <c r="L25" i="1"/>
  <c r="M25" i="1"/>
  <c r="I26" i="1"/>
  <c r="I27" i="1"/>
  <c r="I28" i="1"/>
  <c r="L28" i="1"/>
  <c r="M28" i="1"/>
  <c r="I29" i="1"/>
  <c r="L29" i="1"/>
  <c r="M29" i="1"/>
  <c r="I30" i="1"/>
  <c r="L30" i="1"/>
  <c r="M30" i="1"/>
  <c r="I31" i="1"/>
  <c r="I32" i="1"/>
  <c r="L32" i="1"/>
  <c r="M32" i="1"/>
  <c r="I33" i="1"/>
  <c r="L33" i="1"/>
  <c r="M33" i="1"/>
  <c r="I34" i="1"/>
  <c r="I35" i="1"/>
  <c r="I36" i="1"/>
  <c r="L36" i="1"/>
  <c r="M36" i="1"/>
  <c r="I37" i="1"/>
  <c r="L37" i="1"/>
  <c r="M37" i="1"/>
  <c r="I38" i="1"/>
  <c r="L38" i="1"/>
  <c r="M38" i="1"/>
  <c r="G39" i="1"/>
  <c r="I39" i="1"/>
  <c r="G40" i="1"/>
  <c r="I40" i="1"/>
  <c r="G41" i="1"/>
  <c r="I41" i="1"/>
  <c r="G42" i="1"/>
  <c r="I42" i="1"/>
  <c r="L42" i="1"/>
  <c r="M42" i="1"/>
  <c r="I8" i="1"/>
  <c r="G47" i="1"/>
  <c r="I47" i="1"/>
  <c r="G46" i="1"/>
  <c r="I46" i="1"/>
  <c r="G45" i="1"/>
  <c r="I45" i="1"/>
  <c r="L45" i="1"/>
  <c r="M45" i="1"/>
  <c r="G44" i="1"/>
  <c r="I44" i="1"/>
  <c r="G43" i="1"/>
  <c r="I43" i="1"/>
  <c r="L9" i="1"/>
  <c r="M9" i="1"/>
  <c r="L22" i="1"/>
  <c r="M22" i="1"/>
  <c r="L24" i="1"/>
  <c r="M24" i="1"/>
  <c r="L44" i="1"/>
  <c r="M44" i="1"/>
  <c r="L46" i="1"/>
  <c r="M46" i="1"/>
  <c r="L41" i="1"/>
  <c r="M41" i="1"/>
  <c r="L40" i="1"/>
  <c r="M40" i="1"/>
  <c r="L47" i="1"/>
  <c r="M47" i="1"/>
  <c r="L39" i="1"/>
  <c r="M39" i="1"/>
  <c r="L43" i="1"/>
  <c r="M43" i="1"/>
  <c r="L27" i="1"/>
  <c r="M27" i="1"/>
  <c r="L23" i="1"/>
  <c r="M23" i="1"/>
  <c r="L26" i="1"/>
  <c r="M26" i="1"/>
  <c r="L34" i="1"/>
  <c r="M34" i="1"/>
  <c r="L35" i="1"/>
  <c r="M35" i="1"/>
  <c r="L31" i="1"/>
  <c r="M31" i="1"/>
  <c r="L19" i="1"/>
  <c r="M19" i="1"/>
  <c r="L18" i="1"/>
  <c r="M18" i="1"/>
  <c r="L15" i="1"/>
  <c r="M15" i="1"/>
  <c r="L11" i="1"/>
  <c r="M11" i="1"/>
  <c r="L8" i="1"/>
  <c r="M8" i="1"/>
  <c r="L16" i="1"/>
  <c r="M16" i="1"/>
</calcChain>
</file>

<file path=xl/sharedStrings.xml><?xml version="1.0" encoding="utf-8"?>
<sst xmlns="http://schemas.openxmlformats.org/spreadsheetml/2006/main" count="51" uniqueCount="51">
  <si>
    <t xml:space="preserve">                         °N</t>
  </si>
  <si>
    <t>الإسم و اللقب</t>
  </si>
  <si>
    <t>الواجب الأول</t>
  </si>
  <si>
    <t>الواجب الثاني</t>
  </si>
  <si>
    <t>المشروع</t>
  </si>
  <si>
    <t>مشاركة</t>
  </si>
  <si>
    <t>ت.مستمر</t>
  </si>
  <si>
    <t>الفرض 1</t>
  </si>
  <si>
    <t>م.مستمرة/40</t>
  </si>
  <si>
    <t>الإختبار</t>
  </si>
  <si>
    <t>الإختبار60</t>
  </si>
  <si>
    <t>المعدل</t>
  </si>
  <si>
    <t>المعدل*مع</t>
  </si>
  <si>
    <t>القسم:</t>
  </si>
  <si>
    <t>المعامل:</t>
  </si>
  <si>
    <r>
      <t>المادة :</t>
    </r>
    <r>
      <rPr>
        <b/>
        <sz val="16"/>
        <color rgb="FFFF0000"/>
        <rFont val="Cambria"/>
        <family val="1"/>
        <scheme val="major"/>
      </rPr>
      <t>علوم فيزيائية</t>
    </r>
  </si>
  <si>
    <r>
      <t>السنة الدراسية:</t>
    </r>
    <r>
      <rPr>
        <b/>
        <sz val="16"/>
        <color rgb="FFFF0000"/>
        <rFont val="Cambria"/>
        <family val="1"/>
        <scheme val="major"/>
      </rPr>
      <t>2016/2017</t>
    </r>
  </si>
  <si>
    <r>
      <t>المؤسسة:</t>
    </r>
    <r>
      <rPr>
        <b/>
        <sz val="16"/>
        <color rgb="FFFF0000"/>
        <rFont val="Cambria"/>
        <family val="1"/>
        <scheme val="major"/>
      </rPr>
      <t>متوسطة المشرفي غريس</t>
    </r>
    <r>
      <rPr>
        <b/>
        <sz val="16"/>
        <color rgb="FF00B0F0"/>
        <rFont val="Cambria"/>
        <family val="1"/>
        <scheme val="major"/>
      </rPr>
      <t xml:space="preserve"> </t>
    </r>
  </si>
  <si>
    <r>
      <rPr>
        <b/>
        <sz val="16"/>
        <color rgb="FF00B0F0"/>
        <rFont val="Cambria"/>
        <family val="1"/>
        <scheme val="major"/>
      </rPr>
      <t>الأستاذ:</t>
    </r>
    <r>
      <rPr>
        <b/>
        <sz val="16"/>
        <color theme="1"/>
        <rFont val="Cambria"/>
        <family val="1"/>
        <scheme val="major"/>
      </rPr>
      <t xml:space="preserve"> </t>
    </r>
    <r>
      <rPr>
        <b/>
        <sz val="16"/>
        <color rgb="FFFF0000"/>
        <rFont val="Cambria"/>
        <family val="1"/>
        <scheme val="major"/>
      </rPr>
      <t>تاتي موراد</t>
    </r>
  </si>
  <si>
    <t>4am4</t>
  </si>
  <si>
    <r>
      <t>1.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الطاهر عيشتو</t>
    </r>
  </si>
  <si>
    <r>
      <t>2.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 xml:space="preserve">العوسج سماح </t>
    </r>
  </si>
  <si>
    <r>
      <t>3.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بختي إكرام</t>
    </r>
  </si>
  <si>
    <r>
      <t>4.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بلاحة عبد القادر</t>
    </r>
  </si>
  <si>
    <r>
      <t>5.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بلحاجة عبد الله</t>
    </r>
  </si>
  <si>
    <r>
      <t>6.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بن عزة بشرى</t>
    </r>
  </si>
  <si>
    <r>
      <t>7.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بن عطية خيرة</t>
    </r>
  </si>
  <si>
    <r>
      <t>8.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>بن عودة ايمان</t>
    </r>
  </si>
  <si>
    <r>
      <t>9.</t>
    </r>
    <r>
      <rPr>
        <b/>
        <sz val="7"/>
        <color theme="1"/>
        <rFont val="Times New Roman"/>
        <family val="1"/>
      </rPr>
      <t xml:space="preserve">     </t>
    </r>
    <r>
      <rPr>
        <b/>
        <sz val="14"/>
        <color theme="1"/>
        <rFont val="Times New Roman"/>
        <family val="1"/>
      </rPr>
      <t xml:space="preserve">بن مهنان مريم </t>
    </r>
  </si>
  <si>
    <r>
      <t>10.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بوخدمي وليد</t>
    </r>
  </si>
  <si>
    <r>
      <t>11.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بودربالة محمد</t>
    </r>
  </si>
  <si>
    <r>
      <t>12.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بوزبوجة محمد</t>
    </r>
  </si>
  <si>
    <r>
      <t>13.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حمادي الزركة</t>
    </r>
  </si>
  <si>
    <r>
      <t>14.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خديم يوسف</t>
    </r>
  </si>
  <si>
    <r>
      <t>15.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 xml:space="preserve">سعودي مختار </t>
    </r>
  </si>
  <si>
    <r>
      <t>16.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عرار محمد</t>
    </r>
  </si>
  <si>
    <r>
      <t>17.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عيساوي زكرياء</t>
    </r>
  </si>
  <si>
    <r>
      <t>18.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غربالي سماح</t>
    </r>
  </si>
  <si>
    <r>
      <t>19.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فراحي عطاء</t>
    </r>
  </si>
  <si>
    <r>
      <t>20.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فراد مروان</t>
    </r>
  </si>
  <si>
    <r>
      <t>21.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فيدوح اسيا</t>
    </r>
  </si>
  <si>
    <r>
      <t>22.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قابد محمد</t>
    </r>
  </si>
  <si>
    <r>
      <t>23.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 xml:space="preserve">قنيش عبد الحق </t>
    </r>
  </si>
  <si>
    <r>
      <t>24.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كبير نوال</t>
    </r>
  </si>
  <si>
    <r>
      <t>25.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 xml:space="preserve">لعوسج حميدة </t>
    </r>
  </si>
  <si>
    <r>
      <t>26.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مجاهد محمد</t>
    </r>
  </si>
  <si>
    <r>
      <t>27.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 xml:space="preserve">مداح عبد القادر </t>
    </r>
  </si>
  <si>
    <r>
      <t>28.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ممدود شيماء</t>
    </r>
  </si>
  <si>
    <r>
      <t>29.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منقور محمد الأمين</t>
    </r>
  </si>
  <si>
    <r>
      <t>30.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ويس مريم</t>
    </r>
  </si>
  <si>
    <r>
      <t>31.</t>
    </r>
    <r>
      <rPr>
        <b/>
        <sz val="7"/>
        <color theme="1"/>
        <rFont val="Times New Roman"/>
        <family val="1"/>
      </rPr>
      <t xml:space="preserve">                        </t>
    </r>
    <r>
      <rPr>
        <b/>
        <sz val="14"/>
        <color theme="1"/>
        <rFont val="Times New Roman"/>
        <family val="1"/>
      </rPr>
      <t>يحياوي أميرة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</si>
</sst>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78"/>
      <scheme val="minor"/>
    </font>
    <font>
      <b/>
      <sz val="12"/>
      <name val="Times New Roman"/>
      <family val="1"/>
    </font>
    <font>
      <b/>
      <sz val="12"/>
      <color indexed="12"/>
      <name val="Arial"/>
      <family val="2"/>
    </font>
    <font>
      <b/>
      <sz val="12"/>
      <color indexed="50"/>
      <name val="Arial"/>
      <family val="2"/>
    </font>
    <font>
      <b/>
      <i/>
      <sz val="12"/>
      <name val="Times New Roman"/>
      <family val="1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0"/>
      <name val="Times New Roman"/>
      <family val="1"/>
    </font>
    <font>
      <b/>
      <sz val="12"/>
      <color rgb="FF7030A0"/>
      <name val="Calibri"/>
      <family val="2"/>
      <scheme val="minor"/>
    </font>
    <font>
      <b/>
      <sz val="11"/>
      <color indexed="22"/>
      <name val="Arial"/>
      <family val="2"/>
    </font>
    <font>
      <b/>
      <sz val="16"/>
      <color rgb="FF00B0F0"/>
      <name val="Cambria"/>
      <family val="1"/>
      <scheme val="major"/>
    </font>
    <font>
      <sz val="16"/>
      <color theme="1"/>
      <name val="Calibri"/>
      <family val="2"/>
      <charset val="178"/>
      <scheme val="minor"/>
    </font>
    <font>
      <b/>
      <sz val="16"/>
      <color theme="1"/>
      <name val="Cambria"/>
      <family val="1"/>
      <scheme val="major"/>
    </font>
    <font>
      <b/>
      <sz val="16"/>
      <color rgb="FFFF0000"/>
      <name val="Cambria"/>
      <family val="1"/>
      <scheme val="major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color indexed="12"/>
      <name val="Arial"/>
      <family val="2"/>
    </font>
    <font>
      <b/>
      <sz val="14"/>
      <color indexed="12"/>
      <name val="Times New Roman"/>
      <family val="1"/>
    </font>
    <font>
      <b/>
      <sz val="14"/>
      <name val="Arial"/>
      <family val="2"/>
    </font>
    <font>
      <b/>
      <sz val="14"/>
      <color rgb="FFFF0000"/>
      <name val="Times New Roman"/>
      <family val="1"/>
    </font>
    <font>
      <b/>
      <sz val="14"/>
      <color theme="1"/>
      <name val="Arial"/>
      <family val="2"/>
    </font>
    <font>
      <b/>
      <sz val="14"/>
      <color indexed="53"/>
      <name val="Arial"/>
      <family val="2"/>
    </font>
    <font>
      <b/>
      <sz val="12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i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FF"/>
      <name val="Arial"/>
      <family val="2"/>
    </font>
    <font>
      <b/>
      <sz val="12"/>
      <color rgb="FF99CC00"/>
      <name val="Arial"/>
      <family val="2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top" wrapText="1" readingOrder="2"/>
    </xf>
    <xf numFmtId="0" fontId="4" fillId="0" borderId="3" xfId="0" applyFont="1" applyBorder="1" applyAlignment="1" applyProtection="1">
      <alignment horizontal="center" vertical="top" wrapText="1" readingOrder="2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2" fontId="2" fillId="0" borderId="3" xfId="0" applyNumberFormat="1" applyFont="1" applyBorder="1" applyAlignment="1" applyProtection="1">
      <alignment horizontal="center"/>
    </xf>
    <xf numFmtId="2" fontId="6" fillId="0" borderId="3" xfId="0" applyNumberFormat="1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top" wrapText="1" readingOrder="2"/>
    </xf>
    <xf numFmtId="0" fontId="7" fillId="0" borderId="3" xfId="0" applyFont="1" applyBorder="1" applyAlignment="1">
      <alignment horizontal="center" vertical="top" wrapText="1" readingOrder="2"/>
    </xf>
    <xf numFmtId="0" fontId="5" fillId="0" borderId="3" xfId="0" applyFont="1" applyFill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 applyProtection="1">
      <alignment horizont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5" fillId="4" borderId="3" xfId="0" applyFont="1" applyFill="1" applyBorder="1" applyAlignment="1">
      <alignment horizontal="center" vertical="center" textRotation="180"/>
    </xf>
    <xf numFmtId="0" fontId="16" fillId="3" borderId="3" xfId="0" applyFont="1" applyFill="1" applyBorder="1" applyAlignment="1">
      <alignment horizontal="center" vertical="center" textRotation="180"/>
    </xf>
    <xf numFmtId="0" fontId="17" fillId="3" borderId="3" xfId="0" applyFont="1" applyFill="1" applyBorder="1" applyAlignment="1">
      <alignment horizontal="center" vertical="center" textRotation="180" wrapText="1" readingOrder="2"/>
    </xf>
    <xf numFmtId="0" fontId="18" fillId="3" borderId="3" xfId="0" applyFont="1" applyFill="1" applyBorder="1" applyAlignment="1">
      <alignment horizontal="center" vertical="center" textRotation="180"/>
    </xf>
    <xf numFmtId="0" fontId="19" fillId="2" borderId="2" xfId="0" applyFont="1" applyFill="1" applyBorder="1" applyAlignment="1">
      <alignment horizontal="center" vertical="center" wrapText="1" readingOrder="2"/>
    </xf>
    <xf numFmtId="0" fontId="20" fillId="5" borderId="3" xfId="0" applyFont="1" applyFill="1" applyBorder="1" applyAlignment="1">
      <alignment horizontal="center" vertical="center" textRotation="180"/>
    </xf>
    <xf numFmtId="0" fontId="16" fillId="6" borderId="3" xfId="0" applyFont="1" applyFill="1" applyBorder="1" applyAlignment="1">
      <alignment horizontal="center" vertical="center" textRotation="180"/>
    </xf>
    <xf numFmtId="0" fontId="20" fillId="7" borderId="3" xfId="0" applyFont="1" applyFill="1" applyBorder="1" applyAlignment="1">
      <alignment horizontal="center" vertical="center" textRotation="180"/>
    </xf>
    <xf numFmtId="0" fontId="21" fillId="8" borderId="3" xfId="0" applyFont="1" applyFill="1" applyBorder="1" applyAlignment="1">
      <alignment horizontal="center" vertical="center" textRotation="180"/>
    </xf>
    <xf numFmtId="0" fontId="22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14" fillId="0" borderId="3" xfId="0" applyFont="1" applyBorder="1" applyAlignment="1" applyProtection="1">
      <alignment horizontal="center" vertical="center"/>
    </xf>
    <xf numFmtId="0" fontId="24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 vertical="top" readingOrder="2"/>
    </xf>
    <xf numFmtId="0" fontId="24" fillId="0" borderId="3" xfId="0" applyFont="1" applyBorder="1" applyAlignment="1">
      <alignment horizontal="center" vertical="top" wrapText="1" readingOrder="2"/>
    </xf>
    <xf numFmtId="0" fontId="25" fillId="0" borderId="3" xfId="0" applyFont="1" applyBorder="1" applyAlignment="1" applyProtection="1">
      <alignment horizontal="center" vertical="top" wrapText="1" readingOrder="2"/>
    </xf>
    <xf numFmtId="0" fontId="26" fillId="0" borderId="3" xfId="0" applyFont="1" applyBorder="1" applyAlignment="1">
      <alignment horizontal="center" vertical="top" wrapText="1" readingOrder="2"/>
    </xf>
    <xf numFmtId="0" fontId="9" fillId="0" borderId="3" xfId="0" applyNumberFormat="1" applyFont="1" applyBorder="1" applyAlignment="1" applyProtection="1">
      <alignment horizontal="center"/>
    </xf>
    <xf numFmtId="0" fontId="27" fillId="0" borderId="7" xfId="0" applyFont="1" applyBorder="1" applyAlignment="1">
      <alignment horizontal="center" readingOrder="1"/>
    </xf>
    <xf numFmtId="2" fontId="28" fillId="0" borderId="7" xfId="0" applyNumberFormat="1" applyFont="1" applyBorder="1" applyAlignment="1">
      <alignment horizontal="center" readingOrder="1"/>
    </xf>
    <xf numFmtId="0" fontId="29" fillId="2" borderId="8" xfId="0" applyFont="1" applyFill="1" applyBorder="1" applyAlignment="1">
      <alignment horizontal="right" vertical="top" readingOrder="2"/>
    </xf>
    <xf numFmtId="0" fontId="29" fillId="2" borderId="9" xfId="0" applyFont="1" applyFill="1" applyBorder="1" applyAlignment="1">
      <alignment horizontal="right" vertical="top" readingOrder="2"/>
    </xf>
    <xf numFmtId="0" fontId="29" fillId="0" borderId="9" xfId="0" applyFont="1" applyBorder="1" applyAlignment="1">
      <alignment horizontal="right" vertical="top" readingOrder="2"/>
    </xf>
    <xf numFmtId="2" fontId="29" fillId="0" borderId="7" xfId="0" applyNumberFormat="1" applyFont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42863</xdr:colOff>
      <xdr:row>10</xdr:row>
      <xdr:rowOff>147637</xdr:rowOff>
    </xdr:from>
    <xdr:to>
      <xdr:col>4</xdr:col>
      <xdr:colOff>42863</xdr:colOff>
      <xdr:row>11</xdr:row>
      <xdr:rowOff>4760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5400000" flipH="1">
          <a:off x="2843214" y="2928936"/>
          <a:ext cx="57148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1"/>
          <a:r>
            <a:rPr lang="ar-DZ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/>
              <a:latin typeface="Arial Black"/>
            </a:rPr>
            <a:t>الإختبار</a:t>
          </a:r>
          <a:endParaRPr lang="fr-FR" sz="2000" kern="10" spc="0">
            <a:ln w="9525">
              <a:noFill/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rightToLeft="1" tabSelected="1" topLeftCell="A31" zoomScale="90" zoomScaleNormal="90" workbookViewId="0" xr3:uid="{AEA406A1-0E4B-5B11-9CD5-51D6E497D94C}">
      <selection activeCell="H39" sqref="H39"/>
    </sheetView>
  </sheetViews>
  <sheetFormatPr defaultColWidth="10.76171875" defaultRowHeight="15" x14ac:dyDescent="0.2"/>
  <cols>
    <col min="1" max="1" width="12.10546875" customWidth="1"/>
    <col min="2" max="2" width="29.86328125" customWidth="1"/>
  </cols>
  <sheetData>
    <row r="1" spans="1:13" ht="28.5" customHeight="1" thickBot="1" x14ac:dyDescent="0.25">
      <c r="A1" s="14" t="s">
        <v>16</v>
      </c>
      <c r="B1" s="14"/>
      <c r="E1" s="18" t="s">
        <v>18</v>
      </c>
      <c r="I1" s="14" t="s">
        <v>17</v>
      </c>
      <c r="J1" s="14"/>
      <c r="K1" s="15"/>
    </row>
    <row r="2" spans="1:13" hidden="1" x14ac:dyDescent="0.2"/>
    <row r="3" spans="1:13" ht="28.5" customHeight="1" thickTop="1" thickBot="1" x14ac:dyDescent="0.25">
      <c r="A3" s="17" t="s">
        <v>13</v>
      </c>
      <c r="B3" s="31" t="s">
        <v>19</v>
      </c>
      <c r="E3" s="16" t="s">
        <v>15</v>
      </c>
      <c r="I3" s="30" t="s">
        <v>14</v>
      </c>
      <c r="J3" s="29">
        <v>2</v>
      </c>
    </row>
    <row r="4" spans="1:13" ht="0.75" customHeight="1" thickTop="1" x14ac:dyDescent="0.2">
      <c r="J4" s="13">
        <v>2</v>
      </c>
    </row>
    <row r="7" spans="1:13" ht="77.25" thickBot="1" x14ac:dyDescent="0.25">
      <c r="A7" s="1" t="s">
        <v>0</v>
      </c>
      <c r="B7" s="23" t="s">
        <v>1</v>
      </c>
      <c r="C7" s="22" t="s">
        <v>2</v>
      </c>
      <c r="D7" s="22" t="s">
        <v>3</v>
      </c>
      <c r="E7" s="21" t="s">
        <v>4</v>
      </c>
      <c r="F7" s="20" t="s">
        <v>5</v>
      </c>
      <c r="G7" s="19" t="s">
        <v>6</v>
      </c>
      <c r="H7" s="24" t="s">
        <v>7</v>
      </c>
      <c r="I7" s="25" t="s">
        <v>8</v>
      </c>
      <c r="J7" s="26" t="s">
        <v>9</v>
      </c>
      <c r="K7" s="26" t="s">
        <v>10</v>
      </c>
      <c r="L7" s="27" t="s">
        <v>11</v>
      </c>
      <c r="M7" s="27" t="s">
        <v>12</v>
      </c>
    </row>
    <row r="8" spans="1:13" ht="18.75" thickBot="1" x14ac:dyDescent="0.25">
      <c r="A8" s="2">
        <v>1</v>
      </c>
      <c r="B8" s="44" t="s">
        <v>20</v>
      </c>
      <c r="C8" s="32"/>
      <c r="D8" s="33"/>
      <c r="E8" s="35"/>
      <c r="F8" s="35"/>
      <c r="G8" s="42">
        <v>16</v>
      </c>
      <c r="H8" s="47">
        <v>13.5</v>
      </c>
      <c r="I8" s="6">
        <f>G8+H8</f>
        <v>29.5</v>
      </c>
      <c r="J8" s="7">
        <v>14.5</v>
      </c>
      <c r="K8" s="43">
        <f>J8*3</f>
        <v>43.5</v>
      </c>
      <c r="L8" s="11">
        <f>(I8+K8)/5</f>
        <v>14.6</v>
      </c>
      <c r="M8" s="28">
        <f>L8*$J$3</f>
        <v>29.2</v>
      </c>
    </row>
    <row r="9" spans="1:13" ht="18.75" thickBot="1" x14ac:dyDescent="0.25">
      <c r="A9" s="8">
        <v>2</v>
      </c>
      <c r="B9" s="45" t="s">
        <v>21</v>
      </c>
      <c r="C9" s="37"/>
      <c r="D9" s="36"/>
      <c r="E9" s="35"/>
      <c r="F9" s="35"/>
      <c r="G9" s="42">
        <v>15</v>
      </c>
      <c r="H9" s="47">
        <v>9</v>
      </c>
      <c r="I9" s="6">
        <f>G9+H9</f>
        <v>24</v>
      </c>
      <c r="J9" s="7">
        <v>9</v>
      </c>
      <c r="K9" s="43">
        <f t="shared" ref="K9:K40" si="0">J9*3</f>
        <v>27</v>
      </c>
      <c r="L9" s="11">
        <f t="shared" ref="L9:L47" si="1">(I9+K9)/5</f>
        <v>10.199999999999999</v>
      </c>
      <c r="M9" s="28">
        <f t="shared" ref="M9:M47" si="2">L9*$J$3</f>
        <v>20.399999999999999</v>
      </c>
    </row>
    <row r="10" spans="1:13" ht="18.75" thickBot="1" x14ac:dyDescent="0.25">
      <c r="A10" s="8">
        <v>3</v>
      </c>
      <c r="B10" s="45" t="s">
        <v>22</v>
      </c>
      <c r="C10" s="38"/>
      <c r="D10" s="36"/>
      <c r="E10" s="35"/>
      <c r="F10" s="35"/>
      <c r="G10" s="42">
        <v>16</v>
      </c>
      <c r="H10" s="47">
        <v>10</v>
      </c>
      <c r="I10" s="6">
        <f t="shared" ref="I10:I47" si="3">G10+H10</f>
        <v>26</v>
      </c>
      <c r="J10" s="7">
        <v>8.5</v>
      </c>
      <c r="K10" s="43">
        <f t="shared" si="0"/>
        <v>25.5</v>
      </c>
      <c r="L10" s="11">
        <f t="shared" si="1"/>
        <v>10.3</v>
      </c>
      <c r="M10" s="28">
        <f t="shared" si="2"/>
        <v>20.6</v>
      </c>
    </row>
    <row r="11" spans="1:13" ht="18.75" thickBot="1" x14ac:dyDescent="0.25">
      <c r="A11" s="8">
        <v>4</v>
      </c>
      <c r="B11" s="46" t="s">
        <v>23</v>
      </c>
      <c r="C11" s="38"/>
      <c r="D11" s="36"/>
      <c r="E11" s="35"/>
      <c r="F11" s="35"/>
      <c r="G11" s="42">
        <v>15</v>
      </c>
      <c r="H11" s="47">
        <v>11</v>
      </c>
      <c r="I11" s="6">
        <f t="shared" si="3"/>
        <v>26</v>
      </c>
      <c r="J11" s="7">
        <v>11</v>
      </c>
      <c r="K11" s="43">
        <f t="shared" si="0"/>
        <v>33</v>
      </c>
      <c r="L11" s="11">
        <f t="shared" si="1"/>
        <v>11.8</v>
      </c>
      <c r="M11" s="28">
        <f t="shared" si="2"/>
        <v>23.6</v>
      </c>
    </row>
    <row r="12" spans="1:13" ht="18.75" thickBot="1" x14ac:dyDescent="0.25">
      <c r="A12" s="8">
        <v>5</v>
      </c>
      <c r="B12" s="46" t="s">
        <v>24</v>
      </c>
      <c r="C12" s="38"/>
      <c r="D12" s="36"/>
      <c r="E12" s="35"/>
      <c r="F12" s="35"/>
      <c r="G12" s="42">
        <v>14</v>
      </c>
      <c r="H12" s="47">
        <v>8</v>
      </c>
      <c r="I12" s="6">
        <f t="shared" si="3"/>
        <v>22</v>
      </c>
      <c r="J12" s="7">
        <v>6.5</v>
      </c>
      <c r="K12" s="43">
        <f t="shared" si="0"/>
        <v>19.5</v>
      </c>
      <c r="L12" s="11">
        <f t="shared" si="1"/>
        <v>8.3000000000000007</v>
      </c>
      <c r="M12" s="28">
        <f t="shared" si="2"/>
        <v>16.600000000000001</v>
      </c>
    </row>
    <row r="13" spans="1:13" ht="18.75" thickBot="1" x14ac:dyDescent="0.25">
      <c r="A13" s="8">
        <v>6</v>
      </c>
      <c r="B13" s="45" t="s">
        <v>25</v>
      </c>
      <c r="C13" s="38"/>
      <c r="D13" s="36"/>
      <c r="E13" s="35"/>
      <c r="F13" s="35"/>
      <c r="G13" s="42">
        <v>16</v>
      </c>
      <c r="H13" s="47">
        <v>10</v>
      </c>
      <c r="I13" s="6">
        <f t="shared" si="3"/>
        <v>26</v>
      </c>
      <c r="J13" s="7">
        <v>10</v>
      </c>
      <c r="K13" s="43">
        <f t="shared" si="0"/>
        <v>30</v>
      </c>
      <c r="L13" s="11">
        <f t="shared" si="1"/>
        <v>11.2</v>
      </c>
      <c r="M13" s="28">
        <f t="shared" si="2"/>
        <v>22.4</v>
      </c>
    </row>
    <row r="14" spans="1:13" ht="18.75" thickBot="1" x14ac:dyDescent="0.25">
      <c r="A14" s="8">
        <v>7</v>
      </c>
      <c r="B14" s="45" t="s">
        <v>26</v>
      </c>
      <c r="C14" s="38"/>
      <c r="D14" s="36"/>
      <c r="E14" s="35"/>
      <c r="F14" s="35"/>
      <c r="G14" s="42">
        <v>16</v>
      </c>
      <c r="H14" s="47">
        <v>11.5</v>
      </c>
      <c r="I14" s="6">
        <f t="shared" si="3"/>
        <v>27.5</v>
      </c>
      <c r="J14" s="7">
        <v>8.5</v>
      </c>
      <c r="K14" s="43">
        <f t="shared" si="0"/>
        <v>25.5</v>
      </c>
      <c r="L14" s="11">
        <f t="shared" si="1"/>
        <v>10.6</v>
      </c>
      <c r="M14" s="28">
        <f t="shared" si="2"/>
        <v>21.2</v>
      </c>
    </row>
    <row r="15" spans="1:13" ht="18.75" thickBot="1" x14ac:dyDescent="0.25">
      <c r="A15" s="2">
        <v>8</v>
      </c>
      <c r="B15" s="45" t="s">
        <v>27</v>
      </c>
      <c r="C15" s="38"/>
      <c r="D15" s="36"/>
      <c r="E15" s="35"/>
      <c r="F15" s="35"/>
      <c r="G15" s="42">
        <v>15</v>
      </c>
      <c r="H15" s="47">
        <v>10</v>
      </c>
      <c r="I15" s="6">
        <f t="shared" si="3"/>
        <v>25</v>
      </c>
      <c r="J15" s="7">
        <v>10</v>
      </c>
      <c r="K15" s="43">
        <f t="shared" si="0"/>
        <v>30</v>
      </c>
      <c r="L15" s="11">
        <f t="shared" si="1"/>
        <v>11</v>
      </c>
      <c r="M15" s="28">
        <f t="shared" si="2"/>
        <v>22</v>
      </c>
    </row>
    <row r="16" spans="1:13" ht="18.75" thickBot="1" x14ac:dyDescent="0.25">
      <c r="A16" s="2">
        <v>9</v>
      </c>
      <c r="B16" s="45" t="s">
        <v>28</v>
      </c>
      <c r="C16" s="38"/>
      <c r="D16" s="36"/>
      <c r="E16" s="35"/>
      <c r="F16" s="35"/>
      <c r="G16" s="42">
        <v>18</v>
      </c>
      <c r="H16" s="47">
        <v>14</v>
      </c>
      <c r="I16" s="6">
        <f t="shared" si="3"/>
        <v>32</v>
      </c>
      <c r="J16" s="7">
        <v>16.5</v>
      </c>
      <c r="K16" s="43">
        <f t="shared" si="0"/>
        <v>49.5</v>
      </c>
      <c r="L16" s="11">
        <f t="shared" si="1"/>
        <v>16.3</v>
      </c>
      <c r="M16" s="28">
        <f t="shared" si="2"/>
        <v>32.6</v>
      </c>
    </row>
    <row r="17" spans="1:13" ht="18.75" thickBot="1" x14ac:dyDescent="0.25">
      <c r="A17" s="2">
        <v>10</v>
      </c>
      <c r="B17" s="46" t="s">
        <v>29</v>
      </c>
      <c r="C17" s="38"/>
      <c r="D17" s="36"/>
      <c r="E17" s="35"/>
      <c r="F17" s="35"/>
      <c r="G17" s="42">
        <v>14</v>
      </c>
      <c r="H17" s="47">
        <v>10.5</v>
      </c>
      <c r="I17" s="6">
        <f t="shared" si="3"/>
        <v>24.5</v>
      </c>
      <c r="J17" s="7">
        <v>10</v>
      </c>
      <c r="K17" s="43">
        <f t="shared" si="0"/>
        <v>30</v>
      </c>
      <c r="L17" s="11">
        <f t="shared" si="1"/>
        <v>10.9</v>
      </c>
      <c r="M17" s="28">
        <f t="shared" si="2"/>
        <v>21.8</v>
      </c>
    </row>
    <row r="18" spans="1:13" ht="18.75" thickBot="1" x14ac:dyDescent="0.25">
      <c r="A18" s="2">
        <v>11</v>
      </c>
      <c r="B18" s="46" t="s">
        <v>30</v>
      </c>
      <c r="C18" s="38"/>
      <c r="D18" s="36"/>
      <c r="E18" s="35"/>
      <c r="F18" s="35"/>
      <c r="G18" s="42">
        <v>14</v>
      </c>
      <c r="H18" s="47">
        <v>13</v>
      </c>
      <c r="I18" s="6">
        <f t="shared" si="3"/>
        <v>27</v>
      </c>
      <c r="J18" s="7">
        <v>11</v>
      </c>
      <c r="K18" s="43">
        <f t="shared" si="0"/>
        <v>33</v>
      </c>
      <c r="L18" s="11">
        <f t="shared" si="1"/>
        <v>12</v>
      </c>
      <c r="M18" s="28">
        <f t="shared" si="2"/>
        <v>24</v>
      </c>
    </row>
    <row r="19" spans="1:13" ht="18.75" thickBot="1" x14ac:dyDescent="0.25">
      <c r="A19" s="2">
        <v>12</v>
      </c>
      <c r="B19" s="46" t="s">
        <v>31</v>
      </c>
      <c r="C19" s="38"/>
      <c r="D19" s="36"/>
      <c r="E19" s="35"/>
      <c r="F19" s="35"/>
      <c r="G19" s="42">
        <v>19</v>
      </c>
      <c r="H19" s="47">
        <v>17</v>
      </c>
      <c r="I19" s="6">
        <f t="shared" si="3"/>
        <v>36</v>
      </c>
      <c r="J19" s="7">
        <v>15.75</v>
      </c>
      <c r="K19" s="43">
        <f t="shared" si="0"/>
        <v>47.25</v>
      </c>
      <c r="L19" s="11">
        <f t="shared" si="1"/>
        <v>16.649999999999999</v>
      </c>
      <c r="M19" s="28">
        <f t="shared" si="2"/>
        <v>33.299999999999997</v>
      </c>
    </row>
    <row r="20" spans="1:13" ht="18.75" thickBot="1" x14ac:dyDescent="0.25">
      <c r="A20" s="2">
        <v>13</v>
      </c>
      <c r="B20" s="45" t="s">
        <v>32</v>
      </c>
      <c r="C20" s="38"/>
      <c r="D20" s="36"/>
      <c r="E20" s="35"/>
      <c r="F20" s="35"/>
      <c r="G20" s="42">
        <v>13</v>
      </c>
      <c r="H20" s="47">
        <v>8</v>
      </c>
      <c r="I20" s="6">
        <f t="shared" si="3"/>
        <v>21</v>
      </c>
      <c r="J20" s="7">
        <v>7.5</v>
      </c>
      <c r="K20" s="43">
        <f t="shared" si="0"/>
        <v>22.5</v>
      </c>
      <c r="L20" s="11">
        <f t="shared" si="1"/>
        <v>8.6999999999999993</v>
      </c>
      <c r="M20" s="28">
        <f t="shared" si="2"/>
        <v>17.399999999999999</v>
      </c>
    </row>
    <row r="21" spans="1:13" ht="18.75" thickBot="1" x14ac:dyDescent="0.25">
      <c r="A21" s="2">
        <v>14</v>
      </c>
      <c r="B21" s="46" t="s">
        <v>33</v>
      </c>
      <c r="C21" s="38"/>
      <c r="D21" s="36"/>
      <c r="E21" s="35"/>
      <c r="F21" s="35"/>
      <c r="G21" s="42">
        <v>14</v>
      </c>
      <c r="H21" s="47">
        <v>7</v>
      </c>
      <c r="I21" s="6">
        <f t="shared" si="3"/>
        <v>21</v>
      </c>
      <c r="J21" s="7">
        <v>6</v>
      </c>
      <c r="K21" s="43">
        <f t="shared" si="0"/>
        <v>18</v>
      </c>
      <c r="L21" s="11">
        <f t="shared" si="1"/>
        <v>7.8</v>
      </c>
      <c r="M21" s="28">
        <f t="shared" si="2"/>
        <v>15.6</v>
      </c>
    </row>
    <row r="22" spans="1:13" ht="18.75" thickBot="1" x14ac:dyDescent="0.25">
      <c r="A22" s="2">
        <v>15</v>
      </c>
      <c r="B22" s="46" t="s">
        <v>34</v>
      </c>
      <c r="C22" s="38"/>
      <c r="D22" s="36"/>
      <c r="E22" s="35"/>
      <c r="F22" s="35"/>
      <c r="G22" s="42">
        <v>15</v>
      </c>
      <c r="H22" s="47">
        <v>8</v>
      </c>
      <c r="I22" s="6">
        <f t="shared" si="3"/>
        <v>23</v>
      </c>
      <c r="J22" s="7">
        <v>10.5</v>
      </c>
      <c r="K22" s="43">
        <f t="shared" si="0"/>
        <v>31.5</v>
      </c>
      <c r="L22" s="11">
        <f t="shared" si="1"/>
        <v>10.9</v>
      </c>
      <c r="M22" s="28">
        <f t="shared" si="2"/>
        <v>21.8</v>
      </c>
    </row>
    <row r="23" spans="1:13" ht="18.75" thickBot="1" x14ac:dyDescent="0.25">
      <c r="A23" s="2">
        <v>16</v>
      </c>
      <c r="B23" s="46" t="s">
        <v>35</v>
      </c>
      <c r="C23" s="38"/>
      <c r="D23" s="36"/>
      <c r="E23" s="35"/>
      <c r="F23" s="35"/>
      <c r="G23" s="42">
        <v>13</v>
      </c>
      <c r="H23" s="47">
        <v>7</v>
      </c>
      <c r="I23" s="6">
        <f t="shared" si="3"/>
        <v>20</v>
      </c>
      <c r="J23" s="7">
        <v>6.75</v>
      </c>
      <c r="K23" s="43">
        <f t="shared" si="0"/>
        <v>20.25</v>
      </c>
      <c r="L23" s="11">
        <f t="shared" si="1"/>
        <v>8.0500000000000007</v>
      </c>
      <c r="M23" s="28">
        <f t="shared" si="2"/>
        <v>16.100000000000001</v>
      </c>
    </row>
    <row r="24" spans="1:13" ht="18.75" thickBot="1" x14ac:dyDescent="0.25">
      <c r="A24" s="2">
        <v>17</v>
      </c>
      <c r="B24" s="46" t="s">
        <v>36</v>
      </c>
      <c r="C24" s="38"/>
      <c r="D24" s="36"/>
      <c r="E24" s="35"/>
      <c r="F24" s="35"/>
      <c r="G24" s="42">
        <v>18</v>
      </c>
      <c r="H24" s="47">
        <v>10</v>
      </c>
      <c r="I24" s="6">
        <f t="shared" si="3"/>
        <v>28</v>
      </c>
      <c r="J24" s="7">
        <v>16</v>
      </c>
      <c r="K24" s="43">
        <f t="shared" si="0"/>
        <v>48</v>
      </c>
      <c r="L24" s="11">
        <f t="shared" si="1"/>
        <v>15.2</v>
      </c>
      <c r="M24" s="28">
        <f t="shared" si="2"/>
        <v>30.4</v>
      </c>
    </row>
    <row r="25" spans="1:13" ht="18.75" thickBot="1" x14ac:dyDescent="0.25">
      <c r="A25" s="2">
        <v>18</v>
      </c>
      <c r="B25" s="45" t="s">
        <v>37</v>
      </c>
      <c r="C25" s="38"/>
      <c r="D25" s="36"/>
      <c r="E25" s="35"/>
      <c r="F25" s="35"/>
      <c r="G25" s="42">
        <v>15</v>
      </c>
      <c r="H25" s="47">
        <v>9</v>
      </c>
      <c r="I25" s="6">
        <f t="shared" si="3"/>
        <v>24</v>
      </c>
      <c r="J25" s="7">
        <v>9</v>
      </c>
      <c r="K25" s="43">
        <f t="shared" si="0"/>
        <v>27</v>
      </c>
      <c r="L25" s="11">
        <f t="shared" si="1"/>
        <v>10.199999999999999</v>
      </c>
      <c r="M25" s="28">
        <f t="shared" si="2"/>
        <v>20.399999999999999</v>
      </c>
    </row>
    <row r="26" spans="1:13" ht="18.75" thickBot="1" x14ac:dyDescent="0.25">
      <c r="A26" s="2">
        <v>19</v>
      </c>
      <c r="B26" s="46" t="s">
        <v>38</v>
      </c>
      <c r="C26" s="38"/>
      <c r="D26" s="36"/>
      <c r="E26" s="35"/>
      <c r="F26" s="35"/>
      <c r="G26" s="42">
        <v>13</v>
      </c>
      <c r="H26" s="47">
        <v>9</v>
      </c>
      <c r="I26" s="6">
        <f t="shared" si="3"/>
        <v>22</v>
      </c>
      <c r="J26" s="7">
        <v>6.75</v>
      </c>
      <c r="K26" s="43">
        <f t="shared" si="0"/>
        <v>20.25</v>
      </c>
      <c r="L26" s="11">
        <f t="shared" si="1"/>
        <v>8.4499999999999993</v>
      </c>
      <c r="M26" s="28">
        <f t="shared" si="2"/>
        <v>16.899999999999999</v>
      </c>
    </row>
    <row r="27" spans="1:13" ht="18.75" thickBot="1" x14ac:dyDescent="0.25">
      <c r="A27" s="2">
        <v>20</v>
      </c>
      <c r="B27" s="46" t="s">
        <v>39</v>
      </c>
      <c r="C27" s="38"/>
      <c r="D27" s="36"/>
      <c r="E27" s="35"/>
      <c r="F27" s="35"/>
      <c r="G27" s="42">
        <v>15</v>
      </c>
      <c r="H27" s="47">
        <v>10</v>
      </c>
      <c r="I27" s="6">
        <f t="shared" si="3"/>
        <v>25</v>
      </c>
      <c r="J27" s="7">
        <v>10</v>
      </c>
      <c r="K27" s="43">
        <f t="shared" si="0"/>
        <v>30</v>
      </c>
      <c r="L27" s="11">
        <f t="shared" si="1"/>
        <v>11</v>
      </c>
      <c r="M27" s="28">
        <f t="shared" si="2"/>
        <v>22</v>
      </c>
    </row>
    <row r="28" spans="1:13" ht="18.75" thickBot="1" x14ac:dyDescent="0.25">
      <c r="A28" s="2">
        <v>21</v>
      </c>
      <c r="B28" s="45" t="s">
        <v>40</v>
      </c>
      <c r="C28" s="38"/>
      <c r="D28" s="36"/>
      <c r="E28" s="35"/>
      <c r="F28" s="35"/>
      <c r="G28" s="42">
        <v>15</v>
      </c>
      <c r="H28" s="47">
        <v>8</v>
      </c>
      <c r="I28" s="6">
        <f t="shared" si="3"/>
        <v>23</v>
      </c>
      <c r="J28" s="7">
        <v>8</v>
      </c>
      <c r="K28" s="43">
        <f t="shared" si="0"/>
        <v>24</v>
      </c>
      <c r="L28" s="11">
        <f t="shared" si="1"/>
        <v>9.4</v>
      </c>
      <c r="M28" s="28">
        <f t="shared" si="2"/>
        <v>18.8</v>
      </c>
    </row>
    <row r="29" spans="1:13" ht="18.75" thickBot="1" x14ac:dyDescent="0.25">
      <c r="A29" s="2">
        <v>22</v>
      </c>
      <c r="B29" s="46" t="s">
        <v>41</v>
      </c>
      <c r="C29" s="38"/>
      <c r="D29" s="36"/>
      <c r="E29" s="35"/>
      <c r="F29" s="35"/>
      <c r="G29" s="42">
        <v>15</v>
      </c>
      <c r="H29" s="47">
        <v>8</v>
      </c>
      <c r="I29" s="6">
        <f t="shared" si="3"/>
        <v>23</v>
      </c>
      <c r="J29" s="7">
        <v>7</v>
      </c>
      <c r="K29" s="43">
        <f t="shared" si="0"/>
        <v>21</v>
      </c>
      <c r="L29" s="11">
        <f t="shared" si="1"/>
        <v>8.8000000000000007</v>
      </c>
      <c r="M29" s="28">
        <f t="shared" si="2"/>
        <v>17.600000000000001</v>
      </c>
    </row>
    <row r="30" spans="1:13" ht="18.75" thickBot="1" x14ac:dyDescent="0.25">
      <c r="A30" s="2">
        <v>23</v>
      </c>
      <c r="B30" s="46" t="s">
        <v>42</v>
      </c>
      <c r="C30" s="38"/>
      <c r="D30" s="36"/>
      <c r="E30" s="35"/>
      <c r="F30" s="35"/>
      <c r="G30" s="42">
        <v>13</v>
      </c>
      <c r="H30" s="47">
        <v>7</v>
      </c>
      <c r="I30" s="6">
        <f t="shared" si="3"/>
        <v>20</v>
      </c>
      <c r="J30" s="7">
        <v>7</v>
      </c>
      <c r="K30" s="43">
        <f t="shared" si="0"/>
        <v>21</v>
      </c>
      <c r="L30" s="11">
        <f t="shared" si="1"/>
        <v>8.1999999999999993</v>
      </c>
      <c r="M30" s="28">
        <f t="shared" si="2"/>
        <v>16.399999999999999</v>
      </c>
    </row>
    <row r="31" spans="1:13" ht="18.75" thickBot="1" x14ac:dyDescent="0.25">
      <c r="A31" s="2">
        <v>24</v>
      </c>
      <c r="B31" s="46" t="s">
        <v>43</v>
      </c>
      <c r="C31" s="38"/>
      <c r="D31" s="36"/>
      <c r="E31" s="35"/>
      <c r="F31" s="35"/>
      <c r="G31" s="42">
        <v>16</v>
      </c>
      <c r="H31" s="47">
        <v>12</v>
      </c>
      <c r="I31" s="6">
        <f t="shared" si="3"/>
        <v>28</v>
      </c>
      <c r="J31" s="7">
        <v>13.5</v>
      </c>
      <c r="K31" s="43">
        <f t="shared" si="0"/>
        <v>40.5</v>
      </c>
      <c r="L31" s="11">
        <f t="shared" si="1"/>
        <v>13.7</v>
      </c>
      <c r="M31" s="28">
        <f t="shared" si="2"/>
        <v>27.4</v>
      </c>
    </row>
    <row r="32" spans="1:13" ht="18.75" thickBot="1" x14ac:dyDescent="0.25">
      <c r="A32" s="2">
        <v>25</v>
      </c>
      <c r="B32" s="45" t="s">
        <v>44</v>
      </c>
      <c r="C32" s="38"/>
      <c r="D32" s="36"/>
      <c r="E32" s="35"/>
      <c r="F32" s="35"/>
      <c r="G32" s="42">
        <v>14</v>
      </c>
      <c r="H32" s="47">
        <v>8</v>
      </c>
      <c r="I32" s="6">
        <f t="shared" si="3"/>
        <v>22</v>
      </c>
      <c r="J32" s="7">
        <v>7</v>
      </c>
      <c r="K32" s="43">
        <f t="shared" si="0"/>
        <v>21</v>
      </c>
      <c r="L32" s="11">
        <f t="shared" si="1"/>
        <v>8.6</v>
      </c>
      <c r="M32" s="28">
        <f t="shared" si="2"/>
        <v>17.2</v>
      </c>
    </row>
    <row r="33" spans="1:13" ht="18.75" thickBot="1" x14ac:dyDescent="0.25">
      <c r="A33" s="2">
        <v>26</v>
      </c>
      <c r="B33" s="46" t="s">
        <v>45</v>
      </c>
      <c r="C33" s="38"/>
      <c r="D33" s="36"/>
      <c r="E33" s="35"/>
      <c r="F33" s="35"/>
      <c r="G33" s="42">
        <v>14</v>
      </c>
      <c r="H33" s="47">
        <v>8</v>
      </c>
      <c r="I33" s="6">
        <f t="shared" si="3"/>
        <v>22</v>
      </c>
      <c r="J33" s="7">
        <v>7.5</v>
      </c>
      <c r="K33" s="43">
        <f t="shared" si="0"/>
        <v>22.5</v>
      </c>
      <c r="L33" s="11">
        <f t="shared" si="1"/>
        <v>8.9</v>
      </c>
      <c r="M33" s="28">
        <f t="shared" si="2"/>
        <v>17.8</v>
      </c>
    </row>
    <row r="34" spans="1:13" ht="18.75" thickBot="1" x14ac:dyDescent="0.25">
      <c r="A34" s="2">
        <v>27</v>
      </c>
      <c r="B34" s="46" t="s">
        <v>46</v>
      </c>
      <c r="C34" s="38"/>
      <c r="D34" s="36"/>
      <c r="E34" s="35"/>
      <c r="F34" s="35"/>
      <c r="G34" s="42">
        <v>14</v>
      </c>
      <c r="H34" s="47">
        <v>9</v>
      </c>
      <c r="I34" s="6">
        <f t="shared" si="3"/>
        <v>23</v>
      </c>
      <c r="J34" s="7">
        <v>9.5</v>
      </c>
      <c r="K34" s="43">
        <f t="shared" si="0"/>
        <v>28.5</v>
      </c>
      <c r="L34" s="11">
        <f t="shared" si="1"/>
        <v>10.3</v>
      </c>
      <c r="M34" s="28">
        <f t="shared" si="2"/>
        <v>20.6</v>
      </c>
    </row>
    <row r="35" spans="1:13" ht="18.75" thickBot="1" x14ac:dyDescent="0.25">
      <c r="A35" s="2">
        <v>28</v>
      </c>
      <c r="B35" s="45" t="s">
        <v>47</v>
      </c>
      <c r="C35" s="38"/>
      <c r="D35" s="36"/>
      <c r="E35" s="35"/>
      <c r="F35" s="35"/>
      <c r="G35" s="42">
        <v>18</v>
      </c>
      <c r="H35" s="47">
        <v>15.5</v>
      </c>
      <c r="I35" s="6">
        <f t="shared" si="3"/>
        <v>33.5</v>
      </c>
      <c r="J35" s="7">
        <v>14</v>
      </c>
      <c r="K35" s="43">
        <f t="shared" si="0"/>
        <v>42</v>
      </c>
      <c r="L35" s="11">
        <f t="shared" si="1"/>
        <v>15.1</v>
      </c>
      <c r="M35" s="28">
        <f t="shared" si="2"/>
        <v>30.2</v>
      </c>
    </row>
    <row r="36" spans="1:13" ht="18.75" thickBot="1" x14ac:dyDescent="0.25">
      <c r="A36" s="2">
        <v>29</v>
      </c>
      <c r="B36" s="46" t="s">
        <v>48</v>
      </c>
      <c r="C36" s="38"/>
      <c r="D36" s="36"/>
      <c r="E36" s="35"/>
      <c r="F36" s="35"/>
      <c r="G36" s="42">
        <v>13</v>
      </c>
      <c r="H36" s="47">
        <v>8</v>
      </c>
      <c r="I36" s="6">
        <f t="shared" si="3"/>
        <v>21</v>
      </c>
      <c r="J36" s="7">
        <v>5</v>
      </c>
      <c r="K36" s="43">
        <f t="shared" si="0"/>
        <v>15</v>
      </c>
      <c r="L36" s="11">
        <f t="shared" si="1"/>
        <v>7.2</v>
      </c>
      <c r="M36" s="28">
        <f t="shared" si="2"/>
        <v>14.4</v>
      </c>
    </row>
    <row r="37" spans="1:13" ht="18.75" thickBot="1" x14ac:dyDescent="0.25">
      <c r="A37" s="2">
        <v>30</v>
      </c>
      <c r="B37" s="45" t="s">
        <v>49</v>
      </c>
      <c r="C37" s="38"/>
      <c r="D37" s="36"/>
      <c r="E37" s="35"/>
      <c r="F37" s="35"/>
      <c r="G37" s="5">
        <v>15</v>
      </c>
      <c r="H37" s="47">
        <v>10.5</v>
      </c>
      <c r="I37" s="6">
        <f t="shared" si="3"/>
        <v>25.5</v>
      </c>
      <c r="J37" s="7">
        <v>10.5</v>
      </c>
      <c r="K37" s="43">
        <f t="shared" si="0"/>
        <v>31.5</v>
      </c>
      <c r="L37" s="11">
        <f t="shared" si="1"/>
        <v>11.4</v>
      </c>
      <c r="M37" s="28">
        <f t="shared" si="2"/>
        <v>22.8</v>
      </c>
    </row>
    <row r="38" spans="1:13" ht="18.75" thickBot="1" x14ac:dyDescent="0.25">
      <c r="A38" s="2">
        <v>31</v>
      </c>
      <c r="B38" s="45" t="s">
        <v>50</v>
      </c>
      <c r="C38" s="38"/>
      <c r="D38" s="36"/>
      <c r="E38" s="35"/>
      <c r="F38" s="35"/>
      <c r="G38" s="5">
        <v>19</v>
      </c>
      <c r="H38" s="47">
        <v>17</v>
      </c>
      <c r="I38" s="6">
        <f t="shared" si="3"/>
        <v>36</v>
      </c>
      <c r="J38" s="7">
        <v>15.5</v>
      </c>
      <c r="K38" s="43">
        <f t="shared" si="0"/>
        <v>46.5</v>
      </c>
      <c r="L38" s="11">
        <f t="shared" si="1"/>
        <v>16.5</v>
      </c>
      <c r="M38" s="28">
        <f t="shared" si="2"/>
        <v>33</v>
      </c>
    </row>
    <row r="39" spans="1:13" ht="15.75" thickBot="1" x14ac:dyDescent="0.25">
      <c r="A39" s="2">
        <v>32</v>
      </c>
      <c r="B39" s="3"/>
      <c r="C39" s="39"/>
      <c r="D39" s="4"/>
      <c r="E39" s="34"/>
      <c r="F39" s="35"/>
      <c r="G39" s="5">
        <f t="shared" ref="G39:G47" si="4">SUM(C39:F39)/4</f>
        <v>0</v>
      </c>
      <c r="H39" s="41"/>
      <c r="I39" s="6">
        <f t="shared" si="3"/>
        <v>0</v>
      </c>
      <c r="J39" s="7"/>
      <c r="K39" s="43">
        <f t="shared" si="0"/>
        <v>0</v>
      </c>
      <c r="L39" s="11">
        <f t="shared" si="1"/>
        <v>0</v>
      </c>
      <c r="M39" s="28">
        <f t="shared" si="2"/>
        <v>0</v>
      </c>
    </row>
    <row r="40" spans="1:13" ht="15.75" thickBot="1" x14ac:dyDescent="0.25">
      <c r="A40" s="2">
        <v>33</v>
      </c>
      <c r="B40" s="9"/>
      <c r="C40" s="40"/>
      <c r="D40" s="4"/>
      <c r="E40" s="34"/>
      <c r="F40" s="35"/>
      <c r="G40" s="5">
        <f t="shared" si="4"/>
        <v>0</v>
      </c>
      <c r="H40" s="41"/>
      <c r="I40" s="6">
        <f t="shared" si="3"/>
        <v>0</v>
      </c>
      <c r="J40" s="7"/>
      <c r="K40" s="43">
        <f t="shared" si="0"/>
        <v>0</v>
      </c>
      <c r="L40" s="11">
        <f t="shared" si="1"/>
        <v>0</v>
      </c>
      <c r="M40" s="28">
        <f t="shared" si="2"/>
        <v>0</v>
      </c>
    </row>
    <row r="41" spans="1:13" x14ac:dyDescent="0.2">
      <c r="A41" s="2">
        <v>34</v>
      </c>
      <c r="B41" s="9"/>
      <c r="C41" s="40"/>
      <c r="D41" s="4"/>
      <c r="E41" s="34"/>
      <c r="F41" s="35"/>
      <c r="G41" s="5">
        <f t="shared" si="4"/>
        <v>0</v>
      </c>
      <c r="H41" s="41"/>
      <c r="I41" s="6">
        <f t="shared" si="3"/>
        <v>0</v>
      </c>
      <c r="J41" s="7"/>
      <c r="K41" s="12">
        <f t="shared" ref="K41:K47" si="5">J41*3</f>
        <v>0</v>
      </c>
      <c r="L41" s="11">
        <f t="shared" si="1"/>
        <v>0</v>
      </c>
      <c r="M41" s="28">
        <f t="shared" si="2"/>
        <v>0</v>
      </c>
    </row>
    <row r="42" spans="1:13" x14ac:dyDescent="0.2">
      <c r="A42" s="2">
        <v>35</v>
      </c>
      <c r="B42" s="9"/>
      <c r="C42" s="40"/>
      <c r="D42" s="4"/>
      <c r="E42" s="34"/>
      <c r="F42" s="35"/>
      <c r="G42" s="5">
        <f t="shared" si="4"/>
        <v>0</v>
      </c>
      <c r="H42" s="41"/>
      <c r="I42" s="6">
        <f t="shared" si="3"/>
        <v>0</v>
      </c>
      <c r="J42" s="7"/>
      <c r="K42" s="12">
        <f t="shared" si="5"/>
        <v>0</v>
      </c>
      <c r="L42" s="11">
        <f t="shared" si="1"/>
        <v>0</v>
      </c>
      <c r="M42" s="28">
        <f t="shared" si="2"/>
        <v>0</v>
      </c>
    </row>
    <row r="43" spans="1:13" x14ac:dyDescent="0.2">
      <c r="A43" s="2">
        <v>36</v>
      </c>
      <c r="B43" s="9"/>
      <c r="C43" s="40"/>
      <c r="D43" s="4"/>
      <c r="E43" s="34"/>
      <c r="F43" s="35"/>
      <c r="G43" s="5">
        <f t="shared" si="4"/>
        <v>0</v>
      </c>
      <c r="H43" s="41"/>
      <c r="I43" s="6">
        <f t="shared" si="3"/>
        <v>0</v>
      </c>
      <c r="J43" s="7"/>
      <c r="K43" s="12">
        <f t="shared" si="5"/>
        <v>0</v>
      </c>
      <c r="L43" s="11">
        <f t="shared" si="1"/>
        <v>0</v>
      </c>
      <c r="M43" s="28">
        <f t="shared" si="2"/>
        <v>0</v>
      </c>
    </row>
    <row r="44" spans="1:13" x14ac:dyDescent="0.2">
      <c r="A44" s="2">
        <v>37</v>
      </c>
      <c r="B44" s="9"/>
      <c r="C44" s="40"/>
      <c r="D44" s="4"/>
      <c r="E44" s="34"/>
      <c r="F44" s="35"/>
      <c r="G44" s="5">
        <f t="shared" si="4"/>
        <v>0</v>
      </c>
      <c r="H44" s="41"/>
      <c r="I44" s="6">
        <f t="shared" si="3"/>
        <v>0</v>
      </c>
      <c r="J44" s="7"/>
      <c r="K44" s="12">
        <f t="shared" si="5"/>
        <v>0</v>
      </c>
      <c r="L44" s="11">
        <f t="shared" si="1"/>
        <v>0</v>
      </c>
      <c r="M44" s="28">
        <f t="shared" si="2"/>
        <v>0</v>
      </c>
    </row>
    <row r="45" spans="1:13" x14ac:dyDescent="0.2">
      <c r="A45" s="2">
        <v>38</v>
      </c>
      <c r="B45" s="9"/>
      <c r="C45" s="40"/>
      <c r="D45" s="4"/>
      <c r="E45" s="34"/>
      <c r="F45" s="35"/>
      <c r="G45" s="5">
        <f t="shared" si="4"/>
        <v>0</v>
      </c>
      <c r="H45" s="41"/>
      <c r="I45" s="6">
        <f t="shared" si="3"/>
        <v>0</v>
      </c>
      <c r="J45" s="7"/>
      <c r="K45" s="12">
        <f t="shared" si="5"/>
        <v>0</v>
      </c>
      <c r="L45" s="11">
        <f t="shared" si="1"/>
        <v>0</v>
      </c>
      <c r="M45" s="28">
        <f t="shared" si="2"/>
        <v>0</v>
      </c>
    </row>
    <row r="46" spans="1:13" x14ac:dyDescent="0.2">
      <c r="A46" s="2">
        <v>39</v>
      </c>
      <c r="B46" s="9"/>
      <c r="C46" s="40"/>
      <c r="D46" s="10"/>
      <c r="E46" s="34"/>
      <c r="F46" s="35"/>
      <c r="G46" s="5">
        <f t="shared" si="4"/>
        <v>0</v>
      </c>
      <c r="H46" s="41"/>
      <c r="I46" s="6">
        <f t="shared" si="3"/>
        <v>0</v>
      </c>
      <c r="J46" s="7"/>
      <c r="K46" s="12">
        <f t="shared" si="5"/>
        <v>0</v>
      </c>
      <c r="L46" s="11">
        <f t="shared" si="1"/>
        <v>0</v>
      </c>
      <c r="M46" s="28">
        <f t="shared" si="2"/>
        <v>0</v>
      </c>
    </row>
    <row r="47" spans="1:13" x14ac:dyDescent="0.2">
      <c r="A47" s="2">
        <v>40</v>
      </c>
      <c r="B47" s="9"/>
      <c r="C47" s="40"/>
      <c r="D47" s="10"/>
      <c r="E47" s="34"/>
      <c r="F47" s="35"/>
      <c r="G47" s="5">
        <f t="shared" si="4"/>
        <v>0</v>
      </c>
      <c r="H47" s="41"/>
      <c r="I47" s="6">
        <f t="shared" si="3"/>
        <v>0</v>
      </c>
      <c r="J47" s="7"/>
      <c r="K47" s="12">
        <f t="shared" si="5"/>
        <v>0</v>
      </c>
      <c r="L47" s="11">
        <f t="shared" si="1"/>
        <v>0</v>
      </c>
      <c r="M47" s="28">
        <f t="shared" si="2"/>
        <v>0</v>
      </c>
    </row>
  </sheetData>
  <protectedRanges>
    <protectedRange sqref="I8:I47 B39:B47 B8 C8:G47" name="Plage1"/>
  </protectedRange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 xr3:uid="{958C4451-9541-5A59-BF78-D2F731DF1C81}"/>
  </sheetViews>
  <sheetFormatPr defaultColWidth="10.76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 xr3:uid="{842E5F09-E766-5B8D-85AF-A39847EA96FD}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2016-12-05T15:38:01Z</dcterms:created>
  <dcterms:modified xsi:type="dcterms:W3CDTF">2017-03-01T18:58:16Z</dcterms:modified>
</cp:coreProperties>
</file>